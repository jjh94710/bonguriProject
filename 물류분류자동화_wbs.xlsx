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odelab\Desktop\unity\FactoryML\"/>
    </mc:Choice>
  </mc:AlternateContent>
  <xr:revisionPtr revIDLastSave="0" documentId="13_ncr:1_{C3BA031C-CC91-4512-B98D-B4E6B275B31E}" xr6:coauthVersionLast="47" xr6:coauthVersionMax="47" xr10:uidLastSave="{00000000-0000-0000-0000-000000000000}"/>
  <bookViews>
    <workbookView xWindow="11100" yWindow="0" windowWidth="26490" windowHeight="20985" xr2:uid="{00000000-000D-0000-FFFF-FFFF00000000}"/>
  </bookViews>
  <sheets>
    <sheet name="프로젝트WBS" sheetId="1" r:id="rId1"/>
    <sheet name="휴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3" i="1" l="1"/>
  <c r="R43" i="1"/>
  <c r="T43" i="1" s="1"/>
  <c r="Q43" i="1"/>
  <c r="Q45" i="1" s="1"/>
  <c r="Q5" i="1" s="1"/>
  <c r="P43" i="1"/>
  <c r="P45" i="1" s="1"/>
  <c r="P5" i="1" s="1"/>
  <c r="V42" i="1"/>
  <c r="W42" i="1" s="1"/>
  <c r="U42" i="1"/>
  <c r="T42" i="1"/>
  <c r="S42" i="1"/>
  <c r="R42" i="1"/>
  <c r="Q42" i="1"/>
  <c r="P42" i="1"/>
  <c r="S41" i="1"/>
  <c r="R41" i="1"/>
  <c r="T41" i="1" s="1"/>
  <c r="Q41" i="1"/>
  <c r="P41" i="1"/>
  <c r="S40" i="1"/>
  <c r="R40" i="1"/>
  <c r="Q40" i="1"/>
  <c r="P40" i="1"/>
  <c r="S39" i="1"/>
  <c r="R39" i="1"/>
  <c r="T39" i="1" s="1"/>
  <c r="Q39" i="1"/>
  <c r="P39" i="1"/>
  <c r="S38" i="1"/>
  <c r="R38" i="1"/>
  <c r="T38" i="1" s="1"/>
  <c r="Q38" i="1"/>
  <c r="P38" i="1"/>
  <c r="T37" i="1"/>
  <c r="S37" i="1"/>
  <c r="R37" i="1"/>
  <c r="Q37" i="1"/>
  <c r="P37" i="1"/>
  <c r="S36" i="1"/>
  <c r="R36" i="1"/>
  <c r="T36" i="1" s="1"/>
  <c r="Q36" i="1"/>
  <c r="P36" i="1"/>
  <c r="S35" i="1"/>
  <c r="R35" i="1"/>
  <c r="T35" i="1" s="1"/>
  <c r="Q35" i="1"/>
  <c r="P35" i="1"/>
  <c r="S34" i="1"/>
  <c r="R34" i="1"/>
  <c r="T34" i="1" s="1"/>
  <c r="Q34" i="1"/>
  <c r="P34" i="1"/>
  <c r="S33" i="1"/>
  <c r="R33" i="1"/>
  <c r="T33" i="1" s="1"/>
  <c r="Q33" i="1"/>
  <c r="P33" i="1"/>
  <c r="T32" i="1"/>
  <c r="S32" i="1"/>
  <c r="R32" i="1"/>
  <c r="Q32" i="1"/>
  <c r="P32" i="1"/>
  <c r="S31" i="1"/>
  <c r="R31" i="1"/>
  <c r="T31" i="1" s="1"/>
  <c r="Q31" i="1"/>
  <c r="P31" i="1"/>
  <c r="S30" i="1"/>
  <c r="R30" i="1"/>
  <c r="T30" i="1" s="1"/>
  <c r="Q30" i="1"/>
  <c r="P30" i="1"/>
  <c r="V29" i="1"/>
  <c r="S29" i="1"/>
  <c r="U29" i="1" s="1"/>
  <c r="R29" i="1"/>
  <c r="T29" i="1" s="1"/>
  <c r="Q29" i="1"/>
  <c r="P29" i="1"/>
  <c r="S28" i="1"/>
  <c r="R28" i="1"/>
  <c r="T28" i="1" s="1"/>
  <c r="Q28" i="1"/>
  <c r="P28" i="1"/>
  <c r="S27" i="1"/>
  <c r="R27" i="1"/>
  <c r="T27" i="1" s="1"/>
  <c r="Q27" i="1"/>
  <c r="P27" i="1"/>
  <c r="S26" i="1"/>
  <c r="R26" i="1"/>
  <c r="T26" i="1" s="1"/>
  <c r="Q26" i="1"/>
  <c r="P26" i="1"/>
  <c r="S25" i="1"/>
  <c r="R25" i="1"/>
  <c r="T25" i="1" s="1"/>
  <c r="Q25" i="1"/>
  <c r="P25" i="1"/>
  <c r="V24" i="1"/>
  <c r="U24" i="1"/>
  <c r="S24" i="1"/>
  <c r="R24" i="1"/>
  <c r="T24" i="1" s="1"/>
  <c r="Q24" i="1"/>
  <c r="P24" i="1"/>
  <c r="S23" i="1"/>
  <c r="R23" i="1"/>
  <c r="T23" i="1" s="1"/>
  <c r="Q23" i="1"/>
  <c r="P23" i="1"/>
  <c r="S22" i="1"/>
  <c r="R22" i="1"/>
  <c r="T22" i="1" s="1"/>
  <c r="Q22" i="1"/>
  <c r="P22" i="1"/>
  <c r="S21" i="1"/>
  <c r="R21" i="1"/>
  <c r="T21" i="1" s="1"/>
  <c r="Q21" i="1"/>
  <c r="P21" i="1"/>
  <c r="S20" i="1"/>
  <c r="R20" i="1"/>
  <c r="T20" i="1" s="1"/>
  <c r="Q20" i="1"/>
  <c r="P20" i="1"/>
  <c r="V19" i="1"/>
  <c r="U19" i="1"/>
  <c r="S19" i="1"/>
  <c r="R19" i="1"/>
  <c r="T19" i="1" s="1"/>
  <c r="Q19" i="1"/>
  <c r="P19" i="1"/>
  <c r="S18" i="1"/>
  <c r="R18" i="1"/>
  <c r="T18" i="1" s="1"/>
  <c r="Q18" i="1"/>
  <c r="P18" i="1"/>
  <c r="S17" i="1"/>
  <c r="R17" i="1"/>
  <c r="T17" i="1" s="1"/>
  <c r="Q17" i="1"/>
  <c r="P17" i="1"/>
  <c r="S16" i="1"/>
  <c r="R16" i="1"/>
  <c r="T16" i="1" s="1"/>
  <c r="Q16" i="1"/>
  <c r="P16" i="1"/>
  <c r="S15" i="1"/>
  <c r="R15" i="1"/>
  <c r="T15" i="1" s="1"/>
  <c r="Q15" i="1"/>
  <c r="P15" i="1"/>
  <c r="V14" i="1"/>
  <c r="W14" i="1" s="1"/>
  <c r="U14" i="1"/>
  <c r="T14" i="1"/>
  <c r="S14" i="1"/>
  <c r="R14" i="1"/>
  <c r="Q14" i="1"/>
  <c r="P14" i="1"/>
  <c r="S13" i="1"/>
  <c r="R13" i="1"/>
  <c r="T13" i="1" s="1"/>
  <c r="Q13" i="1"/>
  <c r="P13" i="1"/>
  <c r="S12" i="1"/>
  <c r="R12" i="1"/>
  <c r="T12" i="1" s="1"/>
  <c r="Q12" i="1"/>
  <c r="P12" i="1"/>
  <c r="S11" i="1"/>
  <c r="R11" i="1"/>
  <c r="T11" i="1" s="1"/>
  <c r="Q11" i="1"/>
  <c r="P11" i="1"/>
  <c r="S10" i="1"/>
  <c r="R10" i="1"/>
  <c r="T10" i="1" s="1"/>
  <c r="Q10" i="1"/>
  <c r="P10" i="1"/>
  <c r="T9" i="1"/>
  <c r="S9" i="1"/>
  <c r="R9" i="1"/>
  <c r="Q9" i="1"/>
  <c r="P9" i="1"/>
  <c r="S8" i="1"/>
  <c r="R8" i="1"/>
  <c r="T8" i="1" s="1"/>
  <c r="Q8" i="1"/>
  <c r="P8" i="1"/>
  <c r="S7" i="1"/>
  <c r="R7" i="1"/>
  <c r="T7" i="1" s="1"/>
  <c r="Q7" i="1"/>
  <c r="P7" i="1"/>
  <c r="S6" i="1"/>
  <c r="R6" i="1"/>
  <c r="T6" i="1" s="1"/>
  <c r="Q6" i="1"/>
  <c r="P6" i="1"/>
  <c r="O5" i="1"/>
  <c r="N5" i="1"/>
  <c r="M5" i="1"/>
  <c r="L5" i="1"/>
  <c r="U43" i="1" l="1"/>
  <c r="V43" i="1"/>
  <c r="W43" i="1" s="1"/>
  <c r="V41" i="1"/>
  <c r="W41" i="1" s="1"/>
  <c r="U41" i="1"/>
  <c r="V40" i="1"/>
  <c r="U40" i="1"/>
  <c r="T40" i="1"/>
  <c r="R45" i="1"/>
  <c r="V39" i="1"/>
  <c r="W39" i="1" s="1"/>
  <c r="U39" i="1"/>
  <c r="V38" i="1"/>
  <c r="W38" i="1" s="1"/>
  <c r="U38" i="1"/>
  <c r="U37" i="1"/>
  <c r="V37" i="1"/>
  <c r="W37" i="1" s="1"/>
  <c r="U36" i="1"/>
  <c r="V36" i="1"/>
  <c r="W36" i="1" s="1"/>
  <c r="V35" i="1"/>
  <c r="W35" i="1" s="1"/>
  <c r="U35" i="1"/>
  <c r="V34" i="1"/>
  <c r="W34" i="1" s="1"/>
  <c r="U34" i="1"/>
  <c r="V33" i="1"/>
  <c r="W33" i="1" s="1"/>
  <c r="U33" i="1"/>
  <c r="U32" i="1"/>
  <c r="V32" i="1"/>
  <c r="W32" i="1" s="1"/>
  <c r="V31" i="1"/>
  <c r="W31" i="1" s="1"/>
  <c r="U31" i="1"/>
  <c r="V30" i="1"/>
  <c r="W30" i="1" s="1"/>
  <c r="U30" i="1"/>
  <c r="V28" i="1"/>
  <c r="W28" i="1" s="1"/>
  <c r="U28" i="1"/>
  <c r="V27" i="1"/>
  <c r="W27" i="1" s="1"/>
  <c r="U27" i="1"/>
  <c r="V26" i="1"/>
  <c r="W26" i="1" s="1"/>
  <c r="U26" i="1"/>
  <c r="V25" i="1"/>
  <c r="W25" i="1" s="1"/>
  <c r="U25" i="1"/>
  <c r="V23" i="1"/>
  <c r="W23" i="1" s="1"/>
  <c r="U23" i="1"/>
  <c r="V22" i="1"/>
  <c r="W22" i="1" s="1"/>
  <c r="U22" i="1"/>
  <c r="V21" i="1"/>
  <c r="W21" i="1" s="1"/>
  <c r="U21" i="1"/>
  <c r="V20" i="1"/>
  <c r="W20" i="1" s="1"/>
  <c r="U20" i="1"/>
  <c r="V18" i="1"/>
  <c r="W18" i="1" s="1"/>
  <c r="U18" i="1"/>
  <c r="V17" i="1"/>
  <c r="W17" i="1" s="1"/>
  <c r="U17" i="1"/>
  <c r="V16" i="1"/>
  <c r="W16" i="1" s="1"/>
  <c r="U16" i="1"/>
  <c r="V15" i="1"/>
  <c r="W15" i="1" s="1"/>
  <c r="U15" i="1"/>
  <c r="U13" i="1"/>
  <c r="V13" i="1"/>
  <c r="W13" i="1" s="1"/>
  <c r="S45" i="1"/>
  <c r="V12" i="1"/>
  <c r="W12" i="1" s="1"/>
  <c r="U12" i="1"/>
  <c r="V11" i="1"/>
  <c r="W11" i="1" s="1"/>
  <c r="U11" i="1"/>
  <c r="V10" i="1"/>
  <c r="W10" i="1" s="1"/>
  <c r="U10" i="1"/>
  <c r="V9" i="1"/>
  <c r="W9" i="1" s="1"/>
  <c r="U9" i="1"/>
  <c r="U8" i="1"/>
  <c r="V8" i="1"/>
  <c r="W8" i="1" s="1"/>
  <c r="V7" i="1"/>
  <c r="W7" i="1" s="1"/>
  <c r="U7" i="1"/>
  <c r="V6" i="1"/>
  <c r="U6" i="1"/>
  <c r="W29" i="1"/>
  <c r="W24" i="1"/>
  <c r="W19" i="1"/>
  <c r="T45" i="1" l="1"/>
  <c r="T5" i="1" s="1"/>
  <c r="R5" i="1"/>
  <c r="U45" i="1"/>
  <c r="U5" i="1" s="1"/>
  <c r="S5" i="1"/>
  <c r="W6" i="1"/>
  <c r="V5" i="1"/>
  <c r="W40" i="1"/>
  <c r="W5" i="1" l="1"/>
  <c r="V1" i="1"/>
  <c r="W1" i="1" s="1"/>
  <c r="V45" i="1"/>
  <c r="W45" i="1" s="1"/>
</calcChain>
</file>

<file path=xl/sharedStrings.xml><?xml version="1.0" encoding="utf-8"?>
<sst xmlns="http://schemas.openxmlformats.org/spreadsheetml/2006/main" count="162" uniqueCount="117">
  <si>
    <t>물류 분류 자동화 디지털 트윈</t>
  </si>
  <si>
    <t xml:space="preserve">실적기준일 : </t>
  </si>
  <si>
    <t>SPI</t>
  </si>
  <si>
    <t>단계</t>
  </si>
  <si>
    <t>TASK</t>
  </si>
  <si>
    <t>담당</t>
  </si>
  <si>
    <t>산출물</t>
  </si>
  <si>
    <t>계획
시작일</t>
  </si>
  <si>
    <t>예상
완료일</t>
  </si>
  <si>
    <t>실제
시작일</t>
  </si>
  <si>
    <t>실제
완료(예정)일</t>
  </si>
  <si>
    <t>계획
기간</t>
  </si>
  <si>
    <t>실제
기간</t>
  </si>
  <si>
    <t>계획
진행</t>
  </si>
  <si>
    <t>실제
진행</t>
  </si>
  <si>
    <t>계획
완료율</t>
  </si>
  <si>
    <t>작업
완료율</t>
  </si>
  <si>
    <t>프로젝트 실적</t>
  </si>
  <si>
    <t>일정</t>
  </si>
  <si>
    <t>A</t>
  </si>
  <si>
    <t>B</t>
  </si>
  <si>
    <t>C</t>
  </si>
  <si>
    <t>진척율</t>
  </si>
  <si>
    <t>달성율</t>
  </si>
  <si>
    <t>26. 6월</t>
  </si>
  <si>
    <t>26. 7월</t>
  </si>
  <si>
    <t>26. 8월</t>
  </si>
  <si>
    <t>26. 9월</t>
  </si>
  <si>
    <t>26. 10월</t>
  </si>
  <si>
    <t>26. 11월</t>
  </si>
  <si>
    <t>26. 12월</t>
  </si>
  <si>
    <t>가중치</t>
  </si>
  <si>
    <t>수행단계</t>
  </si>
  <si>
    <t>준비/분석</t>
  </si>
  <si>
    <t>한 장 기획표 작성·멘토 피드백 반영</t>
  </si>
  <si>
    <t>정지훈</t>
  </si>
  <si>
    <t>박봉현</t>
  </si>
  <si>
    <t>한 장 기획표, 피드백 반영표</t>
  </si>
  <si>
    <t>SRS 작성 (요구사항 ID·검증 기준 확정)</t>
  </si>
  <si>
    <t>SRS v1.2</t>
  </si>
  <si>
    <t>Unity 프로젝트·패키지 환경 세팅 (ML-Agents 4.1.0, URDF Importer)</t>
  </si>
  <si>
    <t>프로젝트 파일(.unity)</t>
  </si>
  <si>
    <t>FR5 URDF·상자/컨베이어/AGV Asset 확보</t>
  </si>
  <si>
    <t>문강호</t>
  </si>
  <si>
    <t>Asset 목록</t>
  </si>
  <si>
    <t>송장 라벨 텍스처·투입 데이터 준비 (지역 코드 11/22/33)</t>
  </si>
  <si>
    <t>라벨 텍스처, 투입 목록</t>
  </si>
  <si>
    <t>설계</t>
  </si>
  <si>
    <t>공정 씬 레이아웃 설계 (5개 스테이션 배치)</t>
  </si>
  <si>
    <t>씬 구성안</t>
  </si>
  <si>
    <t>송장 번호 체계·검증 규칙 설계 (5자리, 지역 코드 11/22/33)</t>
  </si>
  <si>
    <t>규칙 정의서</t>
  </si>
  <si>
    <t>로봇암 자세 교정 동작 설계 (IK·부착 방식)</t>
  </si>
  <si>
    <t>동작 설계안</t>
  </si>
  <si>
    <t>대시보드·운전 제어 UI 설계</t>
  </si>
  <si>
    <t>UI 구성안</t>
  </si>
  <si>
    <t>ML 관측·보상 설계 (자세 교정·목적지 배치)</t>
  </si>
  <si>
    <t>학습 설계안</t>
  </si>
  <si>
    <t>구현</t>
  </si>
  <si>
    <t>공정 씬 구성·FR5 로봇암 2대 배치·적재 대기점 설치</t>
  </si>
  <si>
    <t>공정 씬</t>
  </si>
  <si>
    <t>상자 생성·송장면 방향 배정 (FR-01)</t>
  </si>
  <si>
    <t>상자 생성 스크립트</t>
  </si>
  <si>
    <t>컨베이어 이송·스캔 대기점 정지 (FR-02)</t>
  </si>
  <si>
    <t>컨베이어·스토퍼 스크립트</t>
  </si>
  <si>
    <t>판정 카메라 5대 배치·학습 이미지 자동 생성 (FR-03 ①)</t>
  </si>
  <si>
    <t>카메라 리그, 학습 이미지셋</t>
  </si>
  <si>
    <t>CNN 학습·ONNX 모델 내보내기 (FR-03 ②)</t>
  </si>
  <si>
    <t>ONNX 모델 파일, 학습 로그</t>
  </si>
  <si>
    <t>Inference Engine 연동·5면 판정→뒤집기 흐름 (FR-03 ③)</t>
  </si>
  <si>
    <t>판정 모듈</t>
  </si>
  <si>
    <t>송장 번호 OCR 판독·숫자 규칙 검증 (FR-04, FR-07)</t>
  </si>
  <si>
    <t>OCR 모듈, 검증 스크립트</t>
  </si>
  <si>
    <t>교정 로봇암 자세 교정 (FR-05)</t>
  </si>
  <si>
    <t>교정 스크립트</t>
  </si>
  <si>
    <t>재스캔 반복 종료 (FR-06)</t>
  </si>
  <si>
    <t>재시도 제어 스크립트</t>
  </si>
  <si>
    <t>구간 이송·적재 대기점 정지 (FR-16)</t>
  </si>
  <si>
    <t>구간 이송 스크립트</t>
  </si>
  <si>
    <t>분류 로봇암 적재·예외 배출 (FR-08, FR-09)</t>
  </si>
  <si>
    <t>적재·예외 처리 스크립트</t>
  </si>
  <si>
    <t>공정 지표 대시보드·이상 상황 경고 (FR-10, FR-11)</t>
  </si>
  <si>
    <t>대시보드 UI</t>
  </si>
  <si>
    <t>제어 방식 전환·학습 정책 적용 (FR-12, FR-14)</t>
  </si>
  <si>
    <t>정책 연동 스크립트</t>
  </si>
  <si>
    <t>연속 투입·연속 분류 (FR-13)</t>
  </si>
  <si>
    <t>연속 운전 스크립트</t>
  </si>
  <si>
    <t>[마일스톤] 전체 공정 통합·MVP 완성 (5개 스테이션 연결 검증)</t>
  </si>
  <si>
    <t>MVP 빌드, 통합 점검표</t>
  </si>
  <si>
    <t>테스트</t>
  </si>
  <si>
    <t>단위 기능 테스트 (TC-01 ~ TC-09, TC-21)</t>
  </si>
  <si>
    <t>테스트 체크리스트</t>
  </si>
  <si>
    <t>송장면 판정 정확도 측정 (FR-03 ④, TC-03)</t>
  </si>
  <si>
    <t>판정 정확도 기록</t>
  </si>
  <si>
    <t>판독 정확도 측정 (TC-04: 지역 코드 49/50, 전체 48/50)</t>
  </si>
  <si>
    <t>정확도 측정 기록</t>
  </si>
  <si>
    <t>연속 운전 50개 테스트 (TC-13, TC-18)</t>
  </si>
  <si>
    <t>연속 운전 로그</t>
  </si>
  <si>
    <t>성능·병렬 처리 측정 (TC-16, TC-17, TC-22)</t>
  </si>
  <si>
    <t>성능 측정 기록</t>
  </si>
  <si>
    <t>빌드 실행·설정 변경 검사 (TC-19, TC-20)</t>
  </si>
  <si>
    <t>빌드 실행 영상</t>
  </si>
  <si>
    <t>발표준비</t>
  </si>
  <si>
    <t>테스트 결함 버그 수정</t>
  </si>
  <si>
    <t>수정 이력</t>
  </si>
  <si>
    <t>시연 영상 촬영·편집</t>
  </si>
  <si>
    <t>시연 영상</t>
  </si>
  <si>
    <t>발표 PPT 제작 (11/3 초안 병행)</t>
  </si>
  <si>
    <t>PPT 파일</t>
  </si>
  <si>
    <t>README·산출물 정리</t>
  </si>
  <si>
    <t>README 파일</t>
  </si>
  <si>
    <t>SRS 최종 갱신 (개정 이력 반영)</t>
  </si>
  <si>
    <t>SRS 최종본</t>
  </si>
  <si>
    <t>[마일스톤] 최종 발표</t>
  </si>
  <si>
    <t>발표 자료, 시연</t>
  </si>
  <si>
    <t>휴일</t>
  </si>
  <si>
    <t>제헌절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</si>
</sst>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. &quot;m&quot;. &quot;d"/>
    <numFmt numFmtId="177" formatCode="yyyy\-mm\-dd"/>
    <numFmt numFmtId="178" formatCode="0.0%"/>
    <numFmt numFmtId="179" formatCode="d"/>
  </numFmts>
  <fonts count="51">
    <font>
      <sz val="10"/>
      <color rgb="FF000000"/>
      <name val="Arial"/>
      <scheme val="minor"/>
    </font>
    <font>
      <b/>
      <sz val="11"/>
      <color theme="1"/>
      <name val="Noto Sans"/>
    </font>
    <font>
      <sz val="11"/>
      <color theme="1"/>
      <name val="Arial"/>
    </font>
    <font>
      <sz val="11"/>
      <color theme="1"/>
      <name val="Noto Sans"/>
    </font>
    <font>
      <b/>
      <sz val="28"/>
      <color rgb="FF262626"/>
      <name val="&quot;jtbc 고딕 extrabold&quot;"/>
      <family val="3"/>
      <charset val="129"/>
    </font>
    <font>
      <b/>
      <sz val="30"/>
      <color rgb="FF262626"/>
      <name val="Noto Sans"/>
      <family val="2"/>
    </font>
    <font>
      <b/>
      <sz val="10"/>
      <color rgb="FF262626"/>
      <name val="Roboto"/>
    </font>
    <font>
      <b/>
      <sz val="10"/>
      <color rgb="FF262626"/>
      <name val="Malgun Gothic"/>
      <family val="3"/>
      <charset val="129"/>
    </font>
    <font>
      <b/>
      <sz val="11"/>
      <color rgb="FF262626"/>
      <name val="Noto Sans"/>
      <family val="2"/>
    </font>
    <font>
      <b/>
      <sz val="11"/>
      <color rgb="FF262626"/>
      <name val="Arial"/>
      <family val="2"/>
    </font>
    <font>
      <b/>
      <sz val="9"/>
      <color rgb="FF262626"/>
      <name val="Malgun Gothic"/>
      <family val="3"/>
      <charset val="129"/>
    </font>
    <font>
      <b/>
      <sz val="11"/>
      <color rgb="FF0000FF"/>
      <name val="Malgun Gothic"/>
      <family val="3"/>
      <charset val="129"/>
    </font>
    <font>
      <b/>
      <sz val="11"/>
      <color rgb="FF262626"/>
      <name val="Malgun Gothic"/>
      <family val="3"/>
      <charset val="129"/>
    </font>
    <font>
      <b/>
      <sz val="11"/>
      <color rgb="FF434343"/>
      <name val="Hind"/>
    </font>
    <font>
      <sz val="11"/>
      <color rgb="FF434343"/>
      <name val="Hind"/>
    </font>
    <font>
      <sz val="11"/>
      <color rgb="FFD9D9D9"/>
      <name val="&quot;jtbc 고딕 regular&quot;"/>
      <family val="3"/>
      <charset val="129"/>
    </font>
    <font>
      <b/>
      <sz val="10"/>
      <color rgb="FFFFFFFF"/>
      <name val="Noto Sans"/>
      <family val="2"/>
    </font>
    <font>
      <b/>
      <sz val="10"/>
      <color rgb="FFFFFFFF"/>
      <name val="&quot;jtbc 고딕 regular&quot;"/>
      <family val="3"/>
      <charset val="129"/>
    </font>
    <font>
      <sz val="11"/>
      <color rgb="FFFFFFFF"/>
      <name val="Noto Sans"/>
      <family val="2"/>
    </font>
    <font>
      <b/>
      <sz val="11"/>
      <color rgb="FF434343"/>
      <name val="&quot;jtbc 고딕 bold&quot;"/>
      <family val="3"/>
      <charset val="129"/>
    </font>
    <font>
      <b/>
      <sz val="10"/>
      <color rgb="FF000000"/>
      <name val="Noto Sans"/>
      <family val="2"/>
    </font>
    <font>
      <b/>
      <sz val="9"/>
      <color rgb="FF0000FF"/>
      <name val="Malgun Gothic"/>
      <family val="3"/>
      <charset val="129"/>
    </font>
    <font>
      <sz val="9"/>
      <color rgb="FF262626"/>
      <name val="Arial"/>
      <family val="2"/>
    </font>
    <font>
      <sz val="12"/>
      <color rgb="FFD9D9D9"/>
      <name val="Arial"/>
      <family val="2"/>
    </font>
    <font>
      <sz val="11"/>
      <color rgb="FFD9D9D9"/>
      <name val="Arial"/>
      <family val="2"/>
    </font>
    <font>
      <b/>
      <sz val="10"/>
      <color rgb="FF0000FF"/>
      <name val="&quot;jtbc 고딕 light&quot;"/>
      <family val="3"/>
      <charset val="129"/>
    </font>
    <font>
      <b/>
      <sz val="10"/>
      <color rgb="FF262626"/>
      <name val="Noto Sans"/>
      <family val="2"/>
    </font>
    <font>
      <b/>
      <sz val="10"/>
      <color rgb="FF262626"/>
      <name val="&quot;jtbc 고딕 light&quot;"/>
      <family val="3"/>
      <charset val="129"/>
    </font>
    <font>
      <sz val="10"/>
      <color rgb="FF262626"/>
      <name val="Noto Sans"/>
      <family val="2"/>
    </font>
    <font>
      <sz val="10"/>
      <color rgb="FF262626"/>
      <name val="Arial"/>
      <family val="2"/>
    </font>
    <font>
      <b/>
      <sz val="10"/>
      <color rgb="FF0000FF"/>
      <name val="Arial"/>
      <family val="2"/>
    </font>
    <font>
      <sz val="10"/>
      <color rgb="FF434343"/>
      <name val="Arial"/>
      <family val="2"/>
    </font>
    <font>
      <b/>
      <sz val="10"/>
      <color rgb="FF434343"/>
      <name val="Arial"/>
      <family val="2"/>
    </font>
    <font>
      <sz val="8"/>
      <color rgb="FF1F4E78"/>
      <name val="Roboto"/>
    </font>
    <font>
      <sz val="8"/>
      <color rgb="FF262626"/>
      <name val="Roboto"/>
    </font>
    <font>
      <sz val="8"/>
      <color rgb="FFFFFFFF"/>
      <name val="Roboto"/>
    </font>
    <font>
      <b/>
      <sz val="11"/>
      <color rgb="FFD9D9D9"/>
      <name val="Arial"/>
      <family val="2"/>
    </font>
    <font>
      <b/>
      <sz val="12"/>
      <color rgb="FF0000FF"/>
      <name val="Arial"/>
      <family val="2"/>
    </font>
    <font>
      <b/>
      <sz val="8"/>
      <color rgb="FF0000FF"/>
      <name val="Roboto"/>
    </font>
    <font>
      <sz val="11"/>
      <color rgb="FF262626"/>
      <name val="Arial"/>
      <family val="2"/>
    </font>
    <font>
      <b/>
      <sz val="10"/>
      <color rgb="FF0000FF"/>
      <name val="Noto Sans"/>
      <family val="2"/>
    </font>
    <font>
      <sz val="10"/>
      <color theme="1"/>
      <name val="Arial"/>
      <family val="2"/>
    </font>
    <font>
      <sz val="9"/>
      <color rgb="FF262626"/>
      <name val="Noto Sans"/>
      <family val="2"/>
    </font>
    <font>
      <sz val="9"/>
      <color rgb="FFFFFFFF"/>
      <name val="Arial"/>
      <family val="2"/>
    </font>
    <font>
      <b/>
      <sz val="10"/>
      <color rgb="FFFFFFFF"/>
      <name val="Arial"/>
      <family val="2"/>
    </font>
    <font>
      <sz val="11"/>
      <color rgb="FFFFFFFF"/>
      <name val="&quot;jtbc regular&quot;"/>
    </font>
    <font>
      <sz val="9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Malgun Gothic"/>
      <family val="3"/>
      <charset val="129"/>
    </font>
    <font>
      <sz val="11"/>
      <color rgb="FF000000"/>
      <name val="Roboto"/>
    </font>
    <font>
      <sz val="8"/>
      <name val="Arial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404040"/>
        <bgColor rgb="FF404040"/>
      </patternFill>
    </fill>
    <fill>
      <patternFill patternType="solid">
        <fgColor rgb="FF434343"/>
        <bgColor rgb="FF434343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8F8F8"/>
        <bgColor rgb="FFF8F8F8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</fills>
  <borders count="9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595959"/>
      </right>
      <top style="thin">
        <color rgb="FF000000"/>
      </top>
      <bottom/>
      <diagonal/>
    </border>
    <border>
      <left/>
      <right style="thin">
        <color rgb="FF595959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595959"/>
      </right>
      <top/>
      <bottom/>
      <diagonal/>
    </border>
    <border>
      <left style="thin">
        <color rgb="FF595959"/>
      </left>
      <right style="thin">
        <color rgb="FF595959"/>
      </right>
      <top/>
      <bottom/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 style="thin">
        <color rgb="FF000000"/>
      </right>
      <top/>
      <bottom style="thin">
        <color rgb="FF59595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595959"/>
      </right>
      <top/>
      <bottom style="thin">
        <color rgb="FF000000"/>
      </bottom>
      <diagonal/>
    </border>
    <border>
      <left style="thin">
        <color rgb="FF595959"/>
      </left>
      <right style="thin">
        <color rgb="FF595959"/>
      </right>
      <top/>
      <bottom style="thin">
        <color rgb="FF000000"/>
      </bottom>
      <diagonal/>
    </border>
    <border>
      <left style="thin">
        <color rgb="FF595959"/>
      </left>
      <right style="thin">
        <color rgb="FF595959"/>
      </right>
      <top/>
      <bottom style="thin">
        <color rgb="FF000000"/>
      </bottom>
      <diagonal/>
    </border>
    <border>
      <left style="thin">
        <color rgb="FF59595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D9D9D9"/>
      </right>
      <top style="thin">
        <color rgb="FFCCCCCC"/>
      </top>
      <bottom style="thin">
        <color rgb="FF000000"/>
      </bottom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/>
      <bottom style="thin">
        <color rgb="FFD9D9D9"/>
      </bottom>
      <diagonal/>
    </border>
    <border>
      <left style="thin">
        <color rgb="FF999999"/>
      </left>
      <right style="thin">
        <color rgb="FF999999"/>
      </right>
      <top/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 style="thin">
        <color rgb="FF999999"/>
      </right>
      <top/>
      <bottom style="thin">
        <color rgb="FFD9D9D9"/>
      </bottom>
      <diagonal/>
    </border>
    <border>
      <left style="thin">
        <color rgb="FF999999"/>
      </left>
      <right/>
      <top/>
      <bottom style="thin">
        <color rgb="FFD9D9D9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99999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99999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99999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99999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99999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66666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/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D9D9D9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000000"/>
      </bottom>
      <diagonal/>
    </border>
    <border>
      <left style="thin">
        <color rgb="FF999999"/>
      </left>
      <right/>
      <top/>
      <bottom style="thin">
        <color rgb="FF000000"/>
      </bottom>
      <diagonal/>
    </border>
    <border>
      <left/>
      <right style="thin">
        <color rgb="FFD9D9D9"/>
      </right>
      <top/>
      <bottom style="thin">
        <color rgb="FF000000"/>
      </bottom>
      <diagonal/>
    </border>
    <border>
      <left/>
      <right style="thin">
        <color rgb="FFD9D9D9"/>
      </right>
      <top style="thin">
        <color rgb="FFD9D9D9"/>
      </top>
      <bottom style="thin">
        <color rgb="FF000000"/>
      </bottom>
      <diagonal/>
    </border>
    <border>
      <left/>
      <right style="thin">
        <color rgb="FF999999"/>
      </right>
      <top style="thin">
        <color rgb="FFD9D9D9"/>
      </top>
      <bottom style="thin">
        <color rgb="FF000000"/>
      </bottom>
      <diagonal/>
    </border>
    <border>
      <left/>
      <right style="thin">
        <color rgb="FFD9D9D9"/>
      </right>
      <top style="thin">
        <color rgb="FFD9D9D9"/>
      </top>
      <bottom style="thin">
        <color rgb="FF000000"/>
      </bottom>
      <diagonal/>
    </border>
    <border>
      <left/>
      <right style="thin">
        <color rgb="FF999999"/>
      </right>
      <top style="thin">
        <color rgb="FFD9D9D9"/>
      </top>
      <bottom style="thin">
        <color rgb="FF000000"/>
      </bottom>
      <diagonal/>
    </border>
    <border>
      <left/>
      <right/>
      <top style="thin">
        <color rgb="FF666666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99999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999999"/>
      </right>
      <top style="thin">
        <color rgb="FFD9D9D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99999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 style="thin">
        <color rgb="FF999999"/>
      </right>
      <top/>
      <bottom/>
      <diagonal/>
    </border>
    <border>
      <left/>
      <right/>
      <top style="thin">
        <color rgb="FF595959"/>
      </top>
      <bottom/>
      <diagonal/>
    </border>
    <border>
      <left/>
      <right style="thin">
        <color rgb="FF999999"/>
      </right>
      <top style="thin">
        <color rgb="FF595959"/>
      </top>
      <bottom/>
      <diagonal/>
    </border>
    <border>
      <left style="thin">
        <color rgb="FF999999"/>
      </left>
      <right style="thin">
        <color rgb="FF999999"/>
      </right>
      <top style="thin">
        <color rgb="FFD9D9D9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999999"/>
      </right>
      <top style="thin">
        <color rgb="FFB7B7B7"/>
      </top>
      <bottom style="thin">
        <color rgb="FFB7B7B7"/>
      </bottom>
      <diagonal/>
    </border>
    <border>
      <left/>
      <right style="thin">
        <color rgb="FF595959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595959"/>
      </left>
      <right style="thin">
        <color rgb="FF595959"/>
      </right>
      <top style="thin">
        <color rgb="FF000000"/>
      </top>
      <bottom style="thin">
        <color rgb="FF595959"/>
      </bottom>
      <diagonal/>
    </border>
    <border>
      <left style="thin">
        <color rgb="FF595959"/>
      </left>
      <right/>
      <top style="thin">
        <color rgb="FF000000"/>
      </top>
      <bottom style="thin">
        <color rgb="FF595959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 style="thin">
        <color rgb="FF595959"/>
      </left>
      <right style="thin">
        <color rgb="FF000000"/>
      </right>
      <top style="thin">
        <color rgb="FF000000"/>
      </top>
      <bottom style="thin">
        <color rgb="FF595959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595959"/>
      </right>
      <top style="thin">
        <color rgb="FF000000"/>
      </top>
      <bottom/>
      <diagonal/>
    </border>
    <border>
      <left/>
      <right style="thin">
        <color rgb="FF595959"/>
      </right>
      <top/>
      <bottom style="thin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595959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2" borderId="1" xfId="0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left"/>
    </xf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177" fontId="9" fillId="0" borderId="0" xfId="0" applyNumberFormat="1" applyFont="1" applyAlignment="1">
      <alignment horizontal="center"/>
    </xf>
    <xf numFmtId="0" fontId="10" fillId="3" borderId="1" xfId="0" applyFont="1" applyFill="1" applyBorder="1" applyAlignment="1">
      <alignment horizontal="right"/>
    </xf>
    <xf numFmtId="0" fontId="11" fillId="3" borderId="1" xfId="0" applyFont="1" applyFill="1" applyBorder="1" applyAlignment="1">
      <alignment horizontal="right"/>
    </xf>
    <xf numFmtId="178" fontId="12" fillId="3" borderId="1" xfId="0" applyNumberFormat="1" applyFont="1" applyFill="1" applyBorder="1" applyAlignment="1">
      <alignment horizontal="right"/>
    </xf>
    <xf numFmtId="178" fontId="11" fillId="3" borderId="1" xfId="0" applyNumberFormat="1" applyFont="1" applyFill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4" fillId="3" borderId="5" xfId="0" applyFont="1" applyFill="1" applyBorder="1"/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6" xfId="0" applyFont="1" applyFill="1" applyBorder="1"/>
    <xf numFmtId="0" fontId="14" fillId="3" borderId="1" xfId="0" applyFont="1" applyFill="1" applyBorder="1"/>
    <xf numFmtId="0" fontId="15" fillId="0" borderId="0" xfId="0" applyFont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20" fillId="8" borderId="19" xfId="0" applyFont="1" applyFill="1" applyBorder="1" applyAlignment="1">
      <alignment horizontal="center" vertical="center"/>
    </xf>
    <xf numFmtId="177" fontId="21" fillId="10" borderId="22" xfId="0" applyNumberFormat="1" applyFont="1" applyFill="1" applyBorder="1" applyAlignment="1">
      <alignment horizontal="center" vertical="center"/>
    </xf>
    <xf numFmtId="0" fontId="21" fillId="10" borderId="22" xfId="0" applyFont="1" applyFill="1" applyBorder="1" applyAlignment="1">
      <alignment horizontal="center" vertical="center"/>
    </xf>
    <xf numFmtId="178" fontId="21" fillId="10" borderId="23" xfId="0" applyNumberFormat="1" applyFont="1" applyFill="1" applyBorder="1" applyAlignment="1">
      <alignment horizontal="center" vertical="center"/>
    </xf>
    <xf numFmtId="178" fontId="21" fillId="10" borderId="24" xfId="0" applyNumberFormat="1" applyFont="1" applyFill="1" applyBorder="1" applyAlignment="1">
      <alignment horizontal="center" vertical="center"/>
    </xf>
    <xf numFmtId="179" fontId="22" fillId="11" borderId="25" xfId="0" applyNumberFormat="1" applyFont="1" applyFill="1" applyBorder="1" applyAlignment="1">
      <alignment horizontal="center" vertical="center"/>
    </xf>
    <xf numFmtId="179" fontId="22" fillId="8" borderId="25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178" fontId="25" fillId="11" borderId="24" xfId="0" applyNumberFormat="1" applyFont="1" applyFill="1" applyBorder="1" applyAlignment="1">
      <alignment horizontal="left" vertical="center"/>
    </xf>
    <xf numFmtId="0" fontId="26" fillId="12" borderId="1" xfId="0" applyFont="1" applyFill="1" applyBorder="1" applyAlignment="1">
      <alignment horizontal="left" vertical="center"/>
    </xf>
    <xf numFmtId="0" fontId="27" fillId="12" borderId="26" xfId="0" applyFont="1" applyFill="1" applyBorder="1" applyAlignment="1">
      <alignment horizontal="left" vertical="center"/>
    </xf>
    <xf numFmtId="0" fontId="28" fillId="0" borderId="27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177" fontId="28" fillId="0" borderId="28" xfId="0" applyNumberFormat="1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30" fillId="11" borderId="30" xfId="0" applyFont="1" applyFill="1" applyBorder="1" applyAlignment="1">
      <alignment horizontal="center" vertical="center"/>
    </xf>
    <xf numFmtId="0" fontId="30" fillId="11" borderId="31" xfId="0" applyFont="1" applyFill="1" applyBorder="1" applyAlignment="1">
      <alignment horizontal="center" vertical="center"/>
    </xf>
    <xf numFmtId="9" fontId="31" fillId="12" borderId="32" xfId="0" applyNumberFormat="1" applyFont="1" applyFill="1" applyBorder="1" applyAlignment="1">
      <alignment horizontal="center" vertical="center"/>
    </xf>
    <xf numFmtId="9" fontId="30" fillId="12" borderId="32" xfId="0" applyNumberFormat="1" applyFont="1" applyFill="1" applyBorder="1" applyAlignment="1">
      <alignment horizontal="center" vertical="center"/>
    </xf>
    <xf numFmtId="9" fontId="32" fillId="12" borderId="32" xfId="0" applyNumberFormat="1" applyFont="1" applyFill="1" applyBorder="1" applyAlignment="1">
      <alignment horizontal="center" vertical="center"/>
    </xf>
    <xf numFmtId="0" fontId="33" fillId="0" borderId="33" xfId="0" applyFont="1" applyBorder="1" applyAlignment="1">
      <alignment horizontal="left" vertical="center"/>
    </xf>
    <xf numFmtId="0" fontId="33" fillId="0" borderId="34" xfId="0" applyFont="1" applyBorder="1" applyAlignment="1">
      <alignment horizontal="left" vertical="center"/>
    </xf>
    <xf numFmtId="0" fontId="33" fillId="0" borderId="35" xfId="0" applyFont="1" applyBorder="1" applyAlignment="1">
      <alignment horizontal="left" vertical="center"/>
    </xf>
    <xf numFmtId="0" fontId="33" fillId="8" borderId="36" xfId="0" applyFont="1" applyFill="1" applyBorder="1" applyAlignment="1">
      <alignment horizontal="left" vertical="center"/>
    </xf>
    <xf numFmtId="0" fontId="33" fillId="8" borderId="37" xfId="0" applyFont="1" applyFill="1" applyBorder="1" applyAlignment="1">
      <alignment horizontal="left" vertical="center"/>
    </xf>
    <xf numFmtId="0" fontId="34" fillId="0" borderId="34" xfId="0" applyFont="1" applyBorder="1" applyAlignment="1">
      <alignment horizontal="left" vertical="center"/>
    </xf>
    <xf numFmtId="0" fontId="34" fillId="0" borderId="35" xfId="0" applyFont="1" applyBorder="1" applyAlignment="1">
      <alignment horizontal="left" vertical="center"/>
    </xf>
    <xf numFmtId="0" fontId="34" fillId="8" borderId="37" xfId="0" applyFont="1" applyFill="1" applyBorder="1" applyAlignment="1">
      <alignment horizontal="left" vertical="center"/>
    </xf>
    <xf numFmtId="0" fontId="34" fillId="8" borderId="38" xfId="0" applyFont="1" applyFill="1" applyBorder="1" applyAlignment="1">
      <alignment horizontal="left" vertical="center"/>
    </xf>
    <xf numFmtId="178" fontId="25" fillId="11" borderId="39" xfId="0" applyNumberFormat="1" applyFont="1" applyFill="1" applyBorder="1" applyAlignment="1">
      <alignment horizontal="left" vertical="center"/>
    </xf>
    <xf numFmtId="0" fontId="33" fillId="0" borderId="27" xfId="0" applyFont="1" applyBorder="1" applyAlignment="1">
      <alignment horizontal="left" vertical="center"/>
    </xf>
    <xf numFmtId="0" fontId="33" fillId="8" borderId="40" xfId="0" applyFont="1" applyFill="1" applyBorder="1" applyAlignment="1">
      <alignment horizontal="left" vertical="center"/>
    </xf>
    <xf numFmtId="0" fontId="34" fillId="0" borderId="33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4" fillId="8" borderId="36" xfId="0" applyFont="1" applyFill="1" applyBorder="1" applyAlignment="1">
      <alignment horizontal="left" vertical="center"/>
    </xf>
    <xf numFmtId="0" fontId="35" fillId="0" borderId="33" xfId="0" applyFont="1" applyBorder="1" applyAlignment="1">
      <alignment horizontal="left" vertical="center"/>
    </xf>
    <xf numFmtId="0" fontId="36" fillId="5" borderId="1" xfId="0" applyFont="1" applyFill="1" applyBorder="1" applyAlignment="1">
      <alignment horizontal="center" vertical="center"/>
    </xf>
    <xf numFmtId="177" fontId="29" fillId="0" borderId="29" xfId="0" applyNumberFormat="1" applyFont="1" applyBorder="1" applyAlignment="1">
      <alignment horizontal="center" vertical="center"/>
    </xf>
    <xf numFmtId="0" fontId="33" fillId="0" borderId="41" xfId="0" applyFont="1" applyBorder="1" applyAlignment="1">
      <alignment horizontal="left" vertical="center"/>
    </xf>
    <xf numFmtId="0" fontId="33" fillId="0" borderId="42" xfId="0" applyFont="1" applyBorder="1" applyAlignment="1">
      <alignment horizontal="left" vertical="center"/>
    </xf>
    <xf numFmtId="0" fontId="33" fillId="8" borderId="43" xfId="0" applyFont="1" applyFill="1" applyBorder="1" applyAlignment="1">
      <alignment horizontal="left" vertical="center"/>
    </xf>
    <xf numFmtId="0" fontId="33" fillId="8" borderId="44" xfId="0" applyFont="1" applyFill="1" applyBorder="1" applyAlignment="1">
      <alignment horizontal="left" vertical="center"/>
    </xf>
    <xf numFmtId="0" fontId="34" fillId="0" borderId="41" xfId="0" applyFont="1" applyBorder="1" applyAlignment="1">
      <alignment horizontal="left" vertical="center"/>
    </xf>
    <xf numFmtId="0" fontId="34" fillId="0" borderId="42" xfId="0" applyFont="1" applyBorder="1" applyAlignment="1">
      <alignment horizontal="left" vertical="center"/>
    </xf>
    <xf numFmtId="0" fontId="34" fillId="8" borderId="43" xfId="0" applyFont="1" applyFill="1" applyBorder="1" applyAlignment="1">
      <alignment horizontal="left" vertical="center"/>
    </xf>
    <xf numFmtId="0" fontId="36" fillId="5" borderId="45" xfId="0" applyFont="1" applyFill="1" applyBorder="1" applyAlignment="1">
      <alignment horizontal="center" vertical="center"/>
    </xf>
    <xf numFmtId="178" fontId="25" fillId="11" borderId="46" xfId="0" applyNumberFormat="1" applyFont="1" applyFill="1" applyBorder="1" applyAlignment="1">
      <alignment horizontal="left" vertical="center"/>
    </xf>
    <xf numFmtId="0" fontId="27" fillId="12" borderId="19" xfId="0" applyFont="1" applyFill="1" applyBorder="1" applyAlignment="1">
      <alignment horizontal="left" vertical="center"/>
    </xf>
    <xf numFmtId="0" fontId="27" fillId="12" borderId="47" xfId="0" applyFont="1" applyFill="1" applyBorder="1" applyAlignment="1">
      <alignment horizontal="left" vertical="center"/>
    </xf>
    <xf numFmtId="0" fontId="29" fillId="0" borderId="48" xfId="0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177" fontId="29" fillId="0" borderId="49" xfId="0" applyNumberFormat="1" applyFont="1" applyBorder="1" applyAlignment="1">
      <alignment horizontal="center" vertical="center"/>
    </xf>
    <xf numFmtId="0" fontId="30" fillId="11" borderId="50" xfId="0" applyFont="1" applyFill="1" applyBorder="1" applyAlignment="1">
      <alignment horizontal="center" vertical="center"/>
    </xf>
    <xf numFmtId="0" fontId="29" fillId="0" borderId="51" xfId="0" applyFont="1" applyBorder="1" applyAlignment="1">
      <alignment horizontal="center" vertical="center"/>
    </xf>
    <xf numFmtId="0" fontId="30" fillId="11" borderId="52" xfId="0" applyFont="1" applyFill="1" applyBorder="1" applyAlignment="1">
      <alignment horizontal="center" vertical="center"/>
    </xf>
    <xf numFmtId="0" fontId="33" fillId="0" borderId="53" xfId="0" applyFont="1" applyBorder="1" applyAlignment="1">
      <alignment horizontal="left" vertical="center"/>
    </xf>
    <xf numFmtId="0" fontId="33" fillId="0" borderId="54" xfId="0" applyFont="1" applyBorder="1" applyAlignment="1">
      <alignment horizontal="left" vertical="center"/>
    </xf>
    <xf numFmtId="0" fontId="33" fillId="0" borderId="55" xfId="0" applyFont="1" applyBorder="1" applyAlignment="1">
      <alignment horizontal="left" vertical="center"/>
    </xf>
    <xf numFmtId="0" fontId="33" fillId="8" borderId="56" xfId="0" applyFont="1" applyFill="1" applyBorder="1" applyAlignment="1">
      <alignment horizontal="left" vertical="center"/>
    </xf>
    <xf numFmtId="0" fontId="33" fillId="8" borderId="57" xfId="0" applyFont="1" applyFill="1" applyBorder="1" applyAlignment="1">
      <alignment horizontal="left" vertical="center"/>
    </xf>
    <xf numFmtId="0" fontId="36" fillId="5" borderId="58" xfId="0" applyFont="1" applyFill="1" applyBorder="1" applyAlignment="1">
      <alignment horizontal="center" vertical="center"/>
    </xf>
    <xf numFmtId="178" fontId="25" fillId="8" borderId="24" xfId="0" applyNumberFormat="1" applyFont="1" applyFill="1" applyBorder="1" applyAlignment="1">
      <alignment horizontal="left" vertical="center"/>
    </xf>
    <xf numFmtId="0" fontId="28" fillId="0" borderId="28" xfId="0" applyFont="1" applyBorder="1" applyAlignment="1">
      <alignment horizontal="center" vertical="center"/>
    </xf>
    <xf numFmtId="178" fontId="25" fillId="8" borderId="39" xfId="0" applyNumberFormat="1" applyFont="1" applyFill="1" applyBorder="1" applyAlignment="1">
      <alignment horizontal="left" vertical="center"/>
    </xf>
    <xf numFmtId="0" fontId="28" fillId="0" borderId="42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36" fillId="5" borderId="19" xfId="0" applyFont="1" applyFill="1" applyBorder="1" applyAlignment="1">
      <alignment horizontal="center" vertical="center"/>
    </xf>
    <xf numFmtId="178" fontId="25" fillId="8" borderId="46" xfId="0" applyNumberFormat="1" applyFont="1" applyFill="1" applyBorder="1" applyAlignment="1">
      <alignment horizontal="left" vertical="center"/>
    </xf>
    <xf numFmtId="0" fontId="29" fillId="0" borderId="55" xfId="0" applyFont="1" applyBorder="1" applyAlignment="1">
      <alignment horizontal="center" vertical="center"/>
    </xf>
    <xf numFmtId="0" fontId="26" fillId="12" borderId="59" xfId="0" applyFont="1" applyFill="1" applyBorder="1" applyAlignment="1">
      <alignment horizontal="left" vertical="center"/>
    </xf>
    <xf numFmtId="0" fontId="26" fillId="12" borderId="26" xfId="0" applyFont="1" applyFill="1" applyBorder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29" fillId="0" borderId="60" xfId="0" applyFont="1" applyBorder="1" applyAlignment="1">
      <alignment horizontal="center" vertical="center"/>
    </xf>
    <xf numFmtId="0" fontId="38" fillId="0" borderId="61" xfId="0" applyFont="1" applyBorder="1" applyAlignment="1">
      <alignment horizontal="left" vertical="center"/>
    </xf>
    <xf numFmtId="0" fontId="38" fillId="0" borderId="62" xfId="0" applyFont="1" applyBorder="1" applyAlignment="1">
      <alignment horizontal="left" vertical="center"/>
    </xf>
    <xf numFmtId="0" fontId="38" fillId="8" borderId="63" xfId="0" applyFont="1" applyFill="1" applyBorder="1" applyAlignment="1">
      <alignment horizontal="left" vertical="center"/>
    </xf>
    <xf numFmtId="0" fontId="38" fillId="8" borderId="64" xfId="0" applyFont="1" applyFill="1" applyBorder="1" applyAlignment="1">
      <alignment horizontal="left" vertical="center"/>
    </xf>
    <xf numFmtId="0" fontId="26" fillId="12" borderId="47" xfId="0" applyFont="1" applyFill="1" applyBorder="1" applyAlignment="1">
      <alignment horizontal="left" vertical="center"/>
    </xf>
    <xf numFmtId="0" fontId="28" fillId="0" borderId="55" xfId="0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177" fontId="28" fillId="0" borderId="51" xfId="0" applyNumberFormat="1" applyFont="1" applyBorder="1" applyAlignment="1">
      <alignment horizontal="center" vertical="center"/>
    </xf>
    <xf numFmtId="177" fontId="39" fillId="0" borderId="48" xfId="0" applyNumberFormat="1" applyFont="1" applyBorder="1" applyAlignment="1">
      <alignment horizontal="center" vertical="center"/>
    </xf>
    <xf numFmtId="0" fontId="28" fillId="0" borderId="65" xfId="0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177" fontId="39" fillId="0" borderId="66" xfId="0" applyNumberFormat="1" applyFont="1" applyBorder="1" applyAlignment="1">
      <alignment horizontal="center" vertical="center"/>
    </xf>
    <xf numFmtId="177" fontId="39" fillId="0" borderId="65" xfId="0" applyNumberFormat="1" applyFont="1" applyBorder="1" applyAlignment="1">
      <alignment horizontal="center" vertical="center"/>
    </xf>
    <xf numFmtId="0" fontId="33" fillId="0" borderId="67" xfId="0" applyFont="1" applyBorder="1" applyAlignment="1">
      <alignment horizontal="left" vertical="center"/>
    </xf>
    <xf numFmtId="0" fontId="33" fillId="0" borderId="65" xfId="0" applyFont="1" applyBorder="1" applyAlignment="1">
      <alignment horizontal="left" vertical="center"/>
    </xf>
    <xf numFmtId="0" fontId="33" fillId="8" borderId="68" xfId="0" applyFont="1" applyFill="1" applyBorder="1" applyAlignment="1">
      <alignment horizontal="left" vertical="center"/>
    </xf>
    <xf numFmtId="0" fontId="33" fillId="8" borderId="26" xfId="0" applyFont="1" applyFill="1" applyBorder="1" applyAlignment="1">
      <alignment horizontal="left" vertical="center"/>
    </xf>
    <xf numFmtId="0" fontId="26" fillId="12" borderId="2" xfId="0" applyFont="1" applyFill="1" applyBorder="1" applyAlignment="1">
      <alignment horizontal="left" vertical="center"/>
    </xf>
    <xf numFmtId="0" fontId="29" fillId="0" borderId="69" xfId="0" applyFont="1" applyBorder="1" applyAlignment="1">
      <alignment horizontal="center" vertical="center"/>
    </xf>
    <xf numFmtId="177" fontId="39" fillId="0" borderId="69" xfId="0" applyNumberFormat="1" applyFont="1" applyBorder="1" applyAlignment="1">
      <alignment horizontal="center" vertical="center"/>
    </xf>
    <xf numFmtId="0" fontId="33" fillId="8" borderId="70" xfId="0" applyFont="1" applyFill="1" applyBorder="1" applyAlignment="1">
      <alignment horizontal="left" vertical="center"/>
    </xf>
    <xf numFmtId="0" fontId="33" fillId="8" borderId="71" xfId="0" applyFont="1" applyFill="1" applyBorder="1" applyAlignment="1">
      <alignment horizontal="left" vertical="center"/>
    </xf>
    <xf numFmtId="177" fontId="39" fillId="0" borderId="49" xfId="0" applyNumberFormat="1" applyFont="1" applyBorder="1" applyAlignment="1">
      <alignment horizontal="center" vertical="center"/>
    </xf>
    <xf numFmtId="177" fontId="39" fillId="0" borderId="55" xfId="0" applyNumberFormat="1" applyFont="1" applyBorder="1" applyAlignment="1">
      <alignment horizontal="center" vertical="center"/>
    </xf>
    <xf numFmtId="177" fontId="39" fillId="0" borderId="28" xfId="0" applyNumberFormat="1" applyFont="1" applyBorder="1" applyAlignment="1">
      <alignment horizontal="center" vertical="center"/>
    </xf>
    <xf numFmtId="177" fontId="39" fillId="0" borderId="27" xfId="0" applyNumberFormat="1" applyFont="1" applyBorder="1" applyAlignment="1">
      <alignment horizontal="center" vertical="center"/>
    </xf>
    <xf numFmtId="0" fontId="28" fillId="0" borderId="62" xfId="0" applyFont="1" applyBorder="1" applyAlignment="1">
      <alignment horizontal="center" vertical="center"/>
    </xf>
    <xf numFmtId="177" fontId="39" fillId="0" borderId="51" xfId="0" applyNumberFormat="1" applyFont="1" applyBorder="1" applyAlignment="1">
      <alignment horizontal="center" vertical="center"/>
    </xf>
    <xf numFmtId="0" fontId="26" fillId="12" borderId="72" xfId="0" applyFont="1" applyFill="1" applyBorder="1" applyAlignment="1">
      <alignment horizontal="left" vertical="center"/>
    </xf>
    <xf numFmtId="0" fontId="27" fillId="12" borderId="73" xfId="0" applyFont="1" applyFill="1" applyBorder="1" applyAlignment="1">
      <alignment horizontal="left" vertical="center"/>
    </xf>
    <xf numFmtId="0" fontId="40" fillId="0" borderId="27" xfId="0" applyFont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41" fillId="0" borderId="29" xfId="0" applyFont="1" applyBorder="1" applyAlignment="1">
      <alignment horizontal="center" vertical="center"/>
    </xf>
    <xf numFmtId="0" fontId="38" fillId="0" borderId="41" xfId="0" applyFont="1" applyBorder="1" applyAlignment="1">
      <alignment horizontal="left" vertical="center"/>
    </xf>
    <xf numFmtId="0" fontId="38" fillId="0" borderId="42" xfId="0" applyFont="1" applyBorder="1" applyAlignment="1">
      <alignment horizontal="left" vertical="center"/>
    </xf>
    <xf numFmtId="0" fontId="38" fillId="8" borderId="43" xfId="0" applyFont="1" applyFill="1" applyBorder="1" applyAlignment="1">
      <alignment horizontal="left" vertical="center"/>
    </xf>
    <xf numFmtId="0" fontId="38" fillId="8" borderId="44" xfId="0" applyFont="1" applyFill="1" applyBorder="1" applyAlignment="1">
      <alignment horizontal="left" vertical="center"/>
    </xf>
    <xf numFmtId="0" fontId="4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9" fillId="12" borderId="1" xfId="0" applyFont="1" applyFill="1" applyBorder="1" applyAlignment="1">
      <alignment horizontal="left" vertical="center"/>
    </xf>
    <xf numFmtId="0" fontId="29" fillId="12" borderId="64" xfId="0" applyFont="1" applyFill="1" applyBorder="1" applyAlignment="1">
      <alignment horizontal="left" vertical="center"/>
    </xf>
    <xf numFmtId="0" fontId="24" fillId="5" borderId="19" xfId="0" applyFont="1" applyFill="1" applyBorder="1" applyAlignment="1">
      <alignment horizontal="center" vertical="center"/>
    </xf>
    <xf numFmtId="0" fontId="29" fillId="12" borderId="64" xfId="0" applyFont="1" applyFill="1" applyBorder="1" applyAlignment="1">
      <alignment horizontal="center" vertical="center"/>
    </xf>
    <xf numFmtId="0" fontId="29" fillId="12" borderId="74" xfId="0" applyFont="1" applyFill="1" applyBorder="1" applyAlignment="1">
      <alignment horizontal="center" vertical="center"/>
    </xf>
    <xf numFmtId="177" fontId="29" fillId="12" borderId="74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5" fillId="14" borderId="75" xfId="0" applyFont="1" applyFill="1" applyBorder="1" applyAlignment="1">
      <alignment horizontal="center" vertical="center"/>
    </xf>
    <xf numFmtId="0" fontId="46" fillId="14" borderId="75" xfId="0" applyFont="1" applyFill="1" applyBorder="1" applyAlignment="1">
      <alignment horizontal="left"/>
    </xf>
    <xf numFmtId="0" fontId="47" fillId="14" borderId="75" xfId="0" applyFont="1" applyFill="1" applyBorder="1" applyAlignment="1">
      <alignment horizontal="center" vertical="center"/>
    </xf>
    <xf numFmtId="0" fontId="48" fillId="14" borderId="75" xfId="0" applyFont="1" applyFill="1" applyBorder="1" applyAlignment="1">
      <alignment horizontal="center" vertical="center"/>
    </xf>
    <xf numFmtId="0" fontId="48" fillId="14" borderId="76" xfId="0" applyFont="1" applyFill="1" applyBorder="1" applyAlignment="1">
      <alignment horizontal="center" vertical="center"/>
    </xf>
    <xf numFmtId="0" fontId="48" fillId="14" borderId="17" xfId="0" applyFont="1" applyFill="1" applyBorder="1" applyAlignment="1">
      <alignment horizontal="center" vertical="center"/>
    </xf>
    <xf numFmtId="178" fontId="48" fillId="14" borderId="77" xfId="0" applyNumberFormat="1" applyFont="1" applyFill="1" applyBorder="1" applyAlignment="1">
      <alignment horizontal="center" vertical="center"/>
    </xf>
    <xf numFmtId="178" fontId="48" fillId="14" borderId="46" xfId="0" applyNumberFormat="1" applyFont="1" applyFill="1" applyBorder="1" applyAlignment="1">
      <alignment horizontal="center" vertical="center"/>
    </xf>
    <xf numFmtId="0" fontId="49" fillId="12" borderId="78" xfId="0" applyFont="1" applyFill="1" applyBorder="1" applyAlignment="1">
      <alignment horizontal="center" vertical="center"/>
    </xf>
    <xf numFmtId="0" fontId="49" fillId="12" borderId="79" xfId="0" applyFont="1" applyFill="1" applyBorder="1" applyAlignment="1">
      <alignment horizontal="center" vertical="center"/>
    </xf>
    <xf numFmtId="0" fontId="49" fillId="12" borderId="80" xfId="0" applyFont="1" applyFill="1" applyBorder="1" applyAlignment="1">
      <alignment horizontal="center" vertical="center"/>
    </xf>
    <xf numFmtId="0" fontId="49" fillId="8" borderId="78" xfId="0" applyFont="1" applyFill="1" applyBorder="1" applyAlignment="1">
      <alignment horizontal="center" vertical="center"/>
    </xf>
    <xf numFmtId="0" fontId="35" fillId="12" borderId="79" xfId="0" applyFont="1" applyFill="1" applyBorder="1" applyAlignment="1">
      <alignment horizontal="center" vertical="center"/>
    </xf>
    <xf numFmtId="0" fontId="49" fillId="8" borderId="80" xfId="0" applyFont="1" applyFill="1" applyBorder="1" applyAlignment="1">
      <alignment horizontal="center" vertical="center"/>
    </xf>
    <xf numFmtId="0" fontId="49" fillId="8" borderId="7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9" fillId="0" borderId="28" xfId="0" applyNumberFormat="1" applyFont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0" fillId="0" borderId="0" xfId="0"/>
    <xf numFmtId="0" fontId="19" fillId="3" borderId="1" xfId="0" applyFont="1" applyFill="1" applyBorder="1" applyAlignment="1">
      <alignment horizontal="center" vertical="center"/>
    </xf>
    <xf numFmtId="0" fontId="29" fillId="12" borderId="47" xfId="0" applyFont="1" applyFill="1" applyBorder="1" applyAlignment="1">
      <alignment horizontal="left" vertical="center"/>
    </xf>
    <xf numFmtId="0" fontId="0" fillId="0" borderId="48" xfId="0" applyBorder="1"/>
    <xf numFmtId="0" fontId="16" fillId="5" borderId="85" xfId="0" applyFont="1" applyFill="1" applyBorder="1" applyAlignment="1">
      <alignment horizontal="center" vertical="center" wrapText="1"/>
    </xf>
    <xf numFmtId="0" fontId="0" fillId="0" borderId="14" xfId="0" applyBorder="1"/>
    <xf numFmtId="0" fontId="16" fillId="4" borderId="91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89" xfId="0" applyBorder="1"/>
    <xf numFmtId="0" fontId="0" fillId="0" borderId="12" xfId="0" applyBorder="1"/>
    <xf numFmtId="0" fontId="29" fillId="13" borderId="44" xfId="0" applyFont="1" applyFill="1" applyBorder="1" applyAlignment="1">
      <alignment horizontal="left" vertical="center"/>
    </xf>
    <xf numFmtId="0" fontId="0" fillId="0" borderId="42" xfId="0" applyBorder="1"/>
    <xf numFmtId="0" fontId="28" fillId="13" borderId="40" xfId="0" applyFont="1" applyFill="1" applyBorder="1" applyAlignment="1">
      <alignment horizontal="left" vertical="center"/>
    </xf>
    <xf numFmtId="0" fontId="0" fillId="0" borderId="27" xfId="0" applyBorder="1"/>
    <xf numFmtId="0" fontId="28" fillId="13" borderId="57" xfId="0" applyFont="1" applyFill="1" applyBorder="1" applyAlignment="1">
      <alignment horizontal="left" vertical="center"/>
    </xf>
    <xf numFmtId="0" fontId="0" fillId="0" borderId="55" xfId="0" applyBorder="1"/>
    <xf numFmtId="0" fontId="16" fillId="6" borderId="17" xfId="0" applyFont="1" applyFill="1" applyBorder="1" applyAlignment="1">
      <alignment horizontal="center" vertical="center"/>
    </xf>
    <xf numFmtId="0" fontId="0" fillId="0" borderId="10" xfId="0" applyBorder="1"/>
    <xf numFmtId="0" fontId="16" fillId="5" borderId="93" xfId="0" applyFont="1" applyFill="1" applyBorder="1" applyAlignment="1">
      <alignment horizontal="center" vertical="center"/>
    </xf>
    <xf numFmtId="0" fontId="0" fillId="0" borderId="13" xfId="0" applyBorder="1"/>
    <xf numFmtId="0" fontId="0" fillId="0" borderId="21" xfId="0" applyBorder="1"/>
    <xf numFmtId="0" fontId="28" fillId="13" borderId="44" xfId="0" applyFont="1" applyFill="1" applyBorder="1" applyAlignment="1">
      <alignment horizontal="left" vertical="center"/>
    </xf>
    <xf numFmtId="0" fontId="18" fillId="4" borderId="17" xfId="0" applyFont="1" applyFill="1" applyBorder="1" applyAlignment="1">
      <alignment horizontal="center" vertical="center"/>
    </xf>
    <xf numFmtId="0" fontId="0" fillId="0" borderId="11" xfId="0" applyBorder="1"/>
    <xf numFmtId="0" fontId="28" fillId="13" borderId="83" xfId="0" applyFont="1" applyFill="1" applyBorder="1" applyAlignment="1">
      <alignment horizontal="left" vertical="center"/>
    </xf>
    <xf numFmtId="0" fontId="0" fillId="0" borderId="65" xfId="0" applyBorder="1"/>
    <xf numFmtId="0" fontId="29" fillId="12" borderId="57" xfId="0" applyFont="1" applyFill="1" applyBorder="1" applyAlignment="1">
      <alignment horizontal="left" vertical="center"/>
    </xf>
    <xf numFmtId="0" fontId="17" fillId="4" borderId="81" xfId="0" applyFont="1" applyFill="1" applyBorder="1" applyAlignment="1">
      <alignment horizontal="center" vertical="center"/>
    </xf>
    <xf numFmtId="0" fontId="0" fillId="0" borderId="82" xfId="0" applyBorder="1"/>
    <xf numFmtId="0" fontId="0" fillId="0" borderId="20" xfId="0" applyBorder="1"/>
    <xf numFmtId="0" fontId="29" fillId="12" borderId="44" xfId="0" applyFont="1" applyFill="1" applyBorder="1" applyAlignment="1">
      <alignment horizontal="left" vertical="center"/>
    </xf>
    <xf numFmtId="0" fontId="17" fillId="4" borderId="22" xfId="0" applyFont="1" applyFill="1" applyBorder="1" applyAlignment="1">
      <alignment horizontal="center" vertical="center"/>
    </xf>
    <xf numFmtId="0" fontId="28" fillId="13" borderId="64" xfId="0" applyFont="1" applyFill="1" applyBorder="1" applyAlignment="1">
      <alignment horizontal="left" vertical="center"/>
    </xf>
    <xf numFmtId="0" fontId="0" fillId="0" borderId="62" xfId="0" applyBorder="1"/>
    <xf numFmtId="0" fontId="19" fillId="0" borderId="0" xfId="0" applyFont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0" fillId="0" borderId="16" xfId="0" applyBorder="1"/>
    <xf numFmtId="0" fontId="29" fillId="12" borderId="40" xfId="0" applyFont="1" applyFill="1" applyBorder="1" applyAlignment="1">
      <alignment horizontal="left" vertical="center"/>
    </xf>
    <xf numFmtId="0" fontId="16" fillId="4" borderId="93" xfId="0" applyFont="1" applyFill="1" applyBorder="1" applyAlignment="1">
      <alignment horizontal="center" vertical="center"/>
    </xf>
    <xf numFmtId="0" fontId="0" fillId="0" borderId="9" xfId="0" applyBorder="1"/>
    <xf numFmtId="0" fontId="28" fillId="12" borderId="44" xfId="0" applyFont="1" applyFill="1" applyBorder="1" applyAlignment="1">
      <alignment horizontal="left" vertical="center"/>
    </xf>
    <xf numFmtId="0" fontId="28" fillId="12" borderId="40" xfId="0" applyFont="1" applyFill="1" applyBorder="1" applyAlignment="1">
      <alignment horizontal="left" vertical="center"/>
    </xf>
    <xf numFmtId="0" fontId="29" fillId="13" borderId="40" xfId="0" applyFont="1" applyFill="1" applyBorder="1" applyAlignment="1">
      <alignment horizontal="left" vertical="center"/>
    </xf>
    <xf numFmtId="0" fontId="44" fillId="14" borderId="76" xfId="0" applyFont="1" applyFill="1" applyBorder="1" applyAlignment="1">
      <alignment horizontal="left" vertical="center"/>
    </xf>
    <xf numFmtId="0" fontId="28" fillId="13" borderId="84" xfId="0" applyFont="1" applyFill="1" applyBorder="1" applyAlignment="1">
      <alignment horizontal="left" vertical="center"/>
    </xf>
    <xf numFmtId="0" fontId="0" fillId="0" borderId="41" xfId="0" applyBorder="1"/>
    <xf numFmtId="0" fontId="16" fillId="5" borderId="88" xfId="0" applyFont="1" applyFill="1" applyBorder="1" applyAlignment="1">
      <alignment horizontal="center" vertical="center" wrapText="1"/>
    </xf>
    <xf numFmtId="0" fontId="0" fillId="0" borderId="15" xfId="0" applyBorder="1"/>
    <xf numFmtId="0" fontId="10" fillId="3" borderId="1" xfId="0" applyFont="1" applyFill="1" applyBorder="1" applyAlignment="1">
      <alignment horizontal="right"/>
    </xf>
    <xf numFmtId="0" fontId="20" fillId="9" borderId="92" xfId="0" applyFont="1" applyFill="1" applyBorder="1" applyAlignment="1">
      <alignment horizontal="center" vertical="center"/>
    </xf>
    <xf numFmtId="0" fontId="16" fillId="5" borderId="86" xfId="0" applyFont="1" applyFill="1" applyBorder="1" applyAlignment="1">
      <alignment horizontal="center" vertical="center" wrapText="1"/>
    </xf>
    <xf numFmtId="0" fontId="0" fillId="0" borderId="87" xfId="0" applyBorder="1"/>
    <xf numFmtId="0" fontId="36" fillId="5" borderId="59" xfId="0" applyFont="1" applyFill="1" applyBorder="1" applyAlignment="1">
      <alignment horizontal="center" vertical="center"/>
    </xf>
    <xf numFmtId="0" fontId="36" fillId="5" borderId="77" xfId="0" applyFont="1" applyFill="1" applyBorder="1" applyAlignment="1">
      <alignment horizontal="center" vertical="center"/>
    </xf>
    <xf numFmtId="178" fontId="25" fillId="8" borderId="46" xfId="0" applyNumberFormat="1" applyFont="1" applyFill="1" applyBorder="1" applyAlignment="1">
      <alignment horizontal="left" vertical="center"/>
    </xf>
    <xf numFmtId="178" fontId="25" fillId="8" borderId="90" xfId="0" applyNumberFormat="1" applyFont="1" applyFill="1" applyBorder="1" applyAlignment="1">
      <alignment horizontal="left" vertical="center"/>
    </xf>
    <xf numFmtId="0" fontId="27" fillId="12" borderId="90" xfId="0" applyFont="1" applyFill="1" applyBorder="1" applyAlignment="1">
      <alignment horizontal="left" vertical="center"/>
    </xf>
    <xf numFmtId="0" fontId="27" fillId="12" borderId="94" xfId="0" applyFont="1" applyFill="1" applyBorder="1" applyAlignment="1">
      <alignment horizontal="left" vertical="center"/>
    </xf>
  </cellXfs>
  <cellStyles count="1">
    <cellStyle name="표준" xfId="0" builtinId="0"/>
  </cellStyles>
  <dxfs count="3"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00FF"/>
          <bgColor rgb="FF0000FF"/>
        </patternFill>
      </fill>
    </dxf>
    <dxf>
      <font>
        <color rgb="FFFFFF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FG239"/>
  <sheetViews>
    <sheetView showGridLines="0" tabSelected="1" workbookViewId="0">
      <pane ySplit="5" topLeftCell="A6" activePane="bottomLeft" state="frozen"/>
      <selection pane="bottomLeft" activeCell="E17" sqref="E17"/>
    </sheetView>
  </sheetViews>
  <sheetFormatPr defaultColWidth="12.5703125" defaultRowHeight="15" customHeight="1"/>
  <cols>
    <col min="1" max="1" width="1.140625" customWidth="1"/>
    <col min="2" max="2" width="3.85546875" customWidth="1"/>
    <col min="3" max="3" width="7.42578125" bestFit="1" customWidth="1"/>
    <col min="4" max="5" width="6.28515625" customWidth="1"/>
    <col min="6" max="6" width="7.42578125" customWidth="1"/>
    <col min="7" max="7" width="55.7109375" customWidth="1"/>
    <col min="8" max="10" width="10.85546875" customWidth="1"/>
    <col min="11" max="11" width="26.140625" bestFit="1" customWidth="1"/>
    <col min="12" max="12" width="14.85546875" bestFit="1" customWidth="1"/>
    <col min="13" max="13" width="12.5703125" bestFit="1" customWidth="1"/>
    <col min="14" max="15" width="10.28515625" customWidth="1"/>
    <col min="16" max="19" width="5" customWidth="1"/>
    <col min="20" max="22" width="6.42578125" customWidth="1"/>
    <col min="23" max="23" width="13.5703125" customWidth="1"/>
    <col min="24" max="163" width="2.5703125" customWidth="1"/>
  </cols>
  <sheetData>
    <row r="1" spans="1:163" ht="35.25" customHeight="1">
      <c r="A1" s="5"/>
      <c r="B1" s="6" t="s">
        <v>0</v>
      </c>
      <c r="C1" s="6"/>
      <c r="D1" s="6"/>
      <c r="E1" s="6"/>
      <c r="F1" s="6"/>
      <c r="G1" s="6"/>
      <c r="H1" s="7"/>
      <c r="I1" s="7"/>
      <c r="J1" s="7"/>
      <c r="K1" s="8"/>
      <c r="L1" s="9" t="s">
        <v>1</v>
      </c>
      <c r="M1" s="10">
        <v>46322</v>
      </c>
      <c r="N1" s="11"/>
      <c r="O1" s="11"/>
      <c r="P1" s="213"/>
      <c r="Q1" s="164"/>
      <c r="R1" s="164"/>
      <c r="S1" s="11"/>
      <c r="T1" s="11"/>
      <c r="U1" s="12" t="s">
        <v>2</v>
      </c>
      <c r="V1" s="13">
        <f>V5/T5</f>
        <v>0.35833333333333334</v>
      </c>
      <c r="W1" s="14" t="str">
        <f>IF(V1&lt;0.75,"(위험)",IF(V1&lt;0.85,"(경고)",IF(V1&lt;0.95,"(주의)","(양호)")))</f>
        <v>(위험)</v>
      </c>
    </row>
    <row r="2" spans="1:163" ht="6" customHeight="1">
      <c r="A2" s="15"/>
      <c r="B2" s="16"/>
      <c r="C2" s="16"/>
      <c r="D2" s="16"/>
      <c r="E2" s="17"/>
      <c r="F2" s="17"/>
      <c r="G2" s="17"/>
      <c r="H2" s="18"/>
      <c r="I2" s="18"/>
      <c r="J2" s="18"/>
      <c r="K2" s="17"/>
      <c r="L2" s="17"/>
      <c r="M2" s="17"/>
      <c r="N2" s="18"/>
      <c r="O2" s="18"/>
      <c r="P2" s="18"/>
      <c r="Q2" s="18"/>
      <c r="R2" s="18"/>
      <c r="S2" s="19"/>
      <c r="T2" s="20"/>
      <c r="U2" s="21"/>
      <c r="V2" s="21"/>
      <c r="W2" s="21"/>
    </row>
    <row r="3" spans="1:163" ht="21" customHeight="1">
      <c r="A3" s="22"/>
      <c r="B3" s="170" t="s">
        <v>3</v>
      </c>
      <c r="C3" s="171"/>
      <c r="D3" s="171"/>
      <c r="E3" s="172"/>
      <c r="F3" s="192" t="s">
        <v>4</v>
      </c>
      <c r="G3" s="172"/>
      <c r="H3" s="203" t="s">
        <v>5</v>
      </c>
      <c r="I3" s="188"/>
      <c r="J3" s="204"/>
      <c r="K3" s="183" t="s">
        <v>6</v>
      </c>
      <c r="L3" s="168" t="s">
        <v>7</v>
      </c>
      <c r="M3" s="168" t="s">
        <v>8</v>
      </c>
      <c r="N3" s="168" t="s">
        <v>9</v>
      </c>
      <c r="O3" s="168" t="s">
        <v>10</v>
      </c>
      <c r="P3" s="168" t="s">
        <v>11</v>
      </c>
      <c r="Q3" s="168" t="s">
        <v>12</v>
      </c>
      <c r="R3" s="168" t="s">
        <v>13</v>
      </c>
      <c r="S3" s="215" t="s">
        <v>14</v>
      </c>
      <c r="T3" s="211" t="s">
        <v>15</v>
      </c>
      <c r="U3" s="200" t="s">
        <v>16</v>
      </c>
      <c r="V3" s="181" t="s">
        <v>17</v>
      </c>
      <c r="W3" s="182"/>
      <c r="X3" s="187" t="s">
        <v>18</v>
      </c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8"/>
      <c r="BF3" s="188"/>
      <c r="BG3" s="188"/>
      <c r="BH3" s="188"/>
      <c r="BI3" s="188"/>
      <c r="BJ3" s="188"/>
      <c r="BK3" s="188"/>
      <c r="BL3" s="188"/>
      <c r="BM3" s="188"/>
      <c r="BN3" s="188"/>
      <c r="BO3" s="188"/>
      <c r="BP3" s="188"/>
      <c r="BQ3" s="188"/>
      <c r="BR3" s="188"/>
      <c r="BS3" s="188"/>
      <c r="BT3" s="188"/>
      <c r="BU3" s="188"/>
      <c r="BV3" s="188"/>
      <c r="BW3" s="188"/>
      <c r="BX3" s="188"/>
      <c r="BY3" s="188"/>
      <c r="BZ3" s="188"/>
      <c r="CA3" s="188"/>
      <c r="CB3" s="188"/>
      <c r="CC3" s="188"/>
      <c r="CD3" s="188"/>
      <c r="CE3" s="188"/>
      <c r="CF3" s="188"/>
      <c r="CG3" s="188"/>
      <c r="CH3" s="188"/>
      <c r="CI3" s="188"/>
      <c r="CJ3" s="188"/>
      <c r="CK3" s="188"/>
      <c r="CL3" s="188"/>
      <c r="CM3" s="188"/>
      <c r="CN3" s="188"/>
      <c r="CO3" s="188"/>
      <c r="CP3" s="188"/>
      <c r="CQ3" s="188"/>
      <c r="CR3" s="188"/>
      <c r="CS3" s="188"/>
      <c r="CT3" s="188"/>
      <c r="CU3" s="188"/>
      <c r="CV3" s="188"/>
      <c r="CW3" s="188"/>
      <c r="CX3" s="188"/>
      <c r="CY3" s="188"/>
      <c r="CZ3" s="188"/>
      <c r="DA3" s="188"/>
      <c r="DB3" s="188"/>
      <c r="DC3" s="188"/>
      <c r="DD3" s="188"/>
      <c r="DE3" s="188"/>
      <c r="DF3" s="188"/>
      <c r="DG3" s="188"/>
      <c r="DH3" s="188"/>
      <c r="DI3" s="188"/>
      <c r="DJ3" s="188"/>
      <c r="DK3" s="188"/>
      <c r="DL3" s="188"/>
      <c r="DM3" s="188"/>
      <c r="DN3" s="188"/>
      <c r="DO3" s="188"/>
      <c r="DP3" s="188"/>
      <c r="DQ3" s="188"/>
      <c r="DR3" s="188"/>
      <c r="DS3" s="188"/>
      <c r="DT3" s="188"/>
      <c r="DU3" s="188"/>
      <c r="DV3" s="188"/>
      <c r="DW3" s="188"/>
      <c r="DX3" s="188"/>
      <c r="DY3" s="188"/>
      <c r="DZ3" s="188"/>
      <c r="EA3" s="188"/>
      <c r="EB3" s="188"/>
      <c r="EC3" s="188"/>
      <c r="ED3" s="188"/>
      <c r="EE3" s="188"/>
      <c r="EF3" s="188"/>
      <c r="EG3" s="188"/>
      <c r="EH3" s="188"/>
      <c r="EI3" s="188"/>
      <c r="EJ3" s="188"/>
      <c r="EK3" s="188"/>
      <c r="EL3" s="188"/>
      <c r="EM3" s="188"/>
      <c r="EN3" s="188"/>
      <c r="EO3" s="188"/>
      <c r="EP3" s="188"/>
      <c r="EQ3" s="188"/>
      <c r="ER3" s="188"/>
      <c r="ES3" s="188"/>
      <c r="ET3" s="188"/>
      <c r="EU3" s="188"/>
      <c r="EV3" s="188"/>
      <c r="EW3" s="188"/>
      <c r="EX3" s="188"/>
      <c r="EY3" s="188"/>
      <c r="EZ3" s="188"/>
      <c r="FA3" s="188"/>
      <c r="FB3" s="188"/>
      <c r="FC3" s="188"/>
      <c r="FD3" s="188"/>
      <c r="FE3" s="188"/>
      <c r="FF3" s="188"/>
      <c r="FG3" s="182"/>
    </row>
    <row r="4" spans="1:163" ht="18.75" customHeight="1">
      <c r="A4" s="22"/>
      <c r="B4" s="173"/>
      <c r="C4" s="164"/>
      <c r="D4" s="164"/>
      <c r="E4" s="174"/>
      <c r="F4" s="164"/>
      <c r="G4" s="174"/>
      <c r="H4" s="192" t="s">
        <v>19</v>
      </c>
      <c r="I4" s="196" t="s">
        <v>20</v>
      </c>
      <c r="J4" s="196" t="s">
        <v>21</v>
      </c>
      <c r="K4" s="184"/>
      <c r="L4" s="169"/>
      <c r="M4" s="169"/>
      <c r="N4" s="169"/>
      <c r="O4" s="169"/>
      <c r="P4" s="169"/>
      <c r="Q4" s="169"/>
      <c r="R4" s="169"/>
      <c r="S4" s="216"/>
      <c r="T4" s="212"/>
      <c r="U4" s="201"/>
      <c r="V4" s="23" t="s">
        <v>22</v>
      </c>
      <c r="W4" s="23" t="s">
        <v>23</v>
      </c>
      <c r="X4" s="163" t="s">
        <v>24</v>
      </c>
      <c r="Y4" s="164"/>
      <c r="Z4" s="164"/>
      <c r="AA4" s="164"/>
      <c r="AB4" s="164"/>
      <c r="AC4" s="164"/>
      <c r="AD4" s="164"/>
      <c r="AE4" s="164"/>
      <c r="AF4" s="164"/>
      <c r="AG4" s="164"/>
      <c r="AH4" s="199" t="s">
        <v>25</v>
      </c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3" t="s">
        <v>26</v>
      </c>
      <c r="BF4" s="164"/>
      <c r="BG4" s="164"/>
      <c r="BH4" s="164"/>
      <c r="BI4" s="164"/>
      <c r="BJ4" s="164"/>
      <c r="BK4" s="164"/>
      <c r="BL4" s="164"/>
      <c r="BM4" s="164"/>
      <c r="BN4" s="164"/>
      <c r="BO4" s="164"/>
      <c r="BP4" s="164"/>
      <c r="BQ4" s="164"/>
      <c r="BR4" s="164"/>
      <c r="BS4" s="164"/>
      <c r="BT4" s="164"/>
      <c r="BU4" s="164"/>
      <c r="BV4" s="164"/>
      <c r="BW4" s="164"/>
      <c r="BX4" s="164"/>
      <c r="BY4" s="164"/>
      <c r="BZ4" s="199" t="s">
        <v>27</v>
      </c>
      <c r="CA4" s="164"/>
      <c r="CB4" s="164"/>
      <c r="CC4" s="164"/>
      <c r="CD4" s="164"/>
      <c r="CE4" s="164"/>
      <c r="CF4" s="164"/>
      <c r="CG4" s="164"/>
      <c r="CH4" s="164"/>
      <c r="CI4" s="164"/>
      <c r="CJ4" s="164"/>
      <c r="CK4" s="164"/>
      <c r="CL4" s="164"/>
      <c r="CM4" s="164"/>
      <c r="CN4" s="164"/>
      <c r="CO4" s="164"/>
      <c r="CP4" s="164"/>
      <c r="CQ4" s="164"/>
      <c r="CR4" s="164"/>
      <c r="CS4" s="164"/>
      <c r="CT4" s="164"/>
      <c r="CU4" s="163" t="s">
        <v>28</v>
      </c>
      <c r="CV4" s="164"/>
      <c r="CW4" s="164"/>
      <c r="CX4" s="164"/>
      <c r="CY4" s="164"/>
      <c r="CZ4" s="164"/>
      <c r="DA4" s="164"/>
      <c r="DB4" s="164"/>
      <c r="DC4" s="164"/>
      <c r="DD4" s="164"/>
      <c r="DE4" s="164"/>
      <c r="DF4" s="164"/>
      <c r="DG4" s="164"/>
      <c r="DH4" s="164"/>
      <c r="DI4" s="164"/>
      <c r="DJ4" s="164"/>
      <c r="DK4" s="164"/>
      <c r="DL4" s="164"/>
      <c r="DM4" s="164"/>
      <c r="DN4" s="164"/>
      <c r="DO4" s="164"/>
      <c r="DP4" s="164"/>
      <c r="DQ4" s="165" t="s">
        <v>29</v>
      </c>
      <c r="DR4" s="164"/>
      <c r="DS4" s="164"/>
      <c r="DT4" s="164"/>
      <c r="DU4" s="164"/>
      <c r="DV4" s="164"/>
      <c r="DW4" s="164"/>
      <c r="DX4" s="164"/>
      <c r="DY4" s="164"/>
      <c r="DZ4" s="164"/>
      <c r="EA4" s="164"/>
      <c r="EB4" s="164"/>
      <c r="EC4" s="164"/>
      <c r="ED4" s="164"/>
      <c r="EE4" s="164"/>
      <c r="EF4" s="164"/>
      <c r="EG4" s="164"/>
      <c r="EH4" s="164"/>
      <c r="EI4" s="164"/>
      <c r="EJ4" s="164"/>
      <c r="EK4" s="164"/>
      <c r="EL4" s="164"/>
      <c r="EM4" s="164"/>
      <c r="EN4" s="163" t="s">
        <v>30</v>
      </c>
      <c r="EO4" s="164"/>
      <c r="EP4" s="164"/>
      <c r="EQ4" s="164"/>
      <c r="ER4" s="164"/>
      <c r="ES4" s="164"/>
      <c r="ET4" s="164"/>
      <c r="EU4" s="164"/>
      <c r="EV4" s="164"/>
      <c r="EW4" s="164"/>
      <c r="EX4" s="164"/>
      <c r="EY4" s="164"/>
      <c r="EZ4" s="164"/>
      <c r="FA4" s="164"/>
      <c r="FB4" s="164"/>
      <c r="FC4" s="164"/>
      <c r="FD4" s="164"/>
      <c r="FE4" s="164"/>
      <c r="FF4" s="164"/>
      <c r="FG4" s="164"/>
    </row>
    <row r="5" spans="1:163" ht="18" customHeight="1">
      <c r="A5" s="22"/>
      <c r="B5" s="24"/>
      <c r="C5" s="25" t="s">
        <v>31</v>
      </c>
      <c r="D5" s="214" t="s">
        <v>32</v>
      </c>
      <c r="E5" s="194"/>
      <c r="F5" s="193"/>
      <c r="G5" s="194"/>
      <c r="H5" s="194"/>
      <c r="I5" s="185"/>
      <c r="J5" s="185"/>
      <c r="K5" s="185"/>
      <c r="L5" s="26">
        <f>MIN(L6:L44)</f>
        <v>46322</v>
      </c>
      <c r="M5" s="26">
        <f>MAX(M6:M44)</f>
        <v>46331</v>
      </c>
      <c r="N5" s="26">
        <f>MIN(N6:N44)</f>
        <v>46322</v>
      </c>
      <c r="O5" s="26">
        <f>MAX(O6:O44)</f>
        <v>46322</v>
      </c>
      <c r="P5" s="27">
        <f t="shared" ref="P5:U5" si="0">P45</f>
        <v>43</v>
      </c>
      <c r="Q5" s="27">
        <f t="shared" si="0"/>
        <v>2</v>
      </c>
      <c r="R5" s="27">
        <f t="shared" si="0"/>
        <v>4</v>
      </c>
      <c r="S5" s="27">
        <f t="shared" si="0"/>
        <v>2</v>
      </c>
      <c r="T5" s="28">
        <f t="shared" si="0"/>
        <v>9.3023255813953487E-2</v>
      </c>
      <c r="U5" s="28">
        <f t="shared" si="0"/>
        <v>1</v>
      </c>
      <c r="V5" s="29">
        <f>(AVERAGE(V6:V11)*C6)+(AVERAGE(V12:V16)*C12)+(AVERAGE(V17:V31)*C17)+(AVERAGE(V32:V37)*C32)+(AVERAGE(V38:V43)*C38)</f>
        <v>3.3333333333333333E-2</v>
      </c>
      <c r="W5" s="29">
        <f t="shared" ref="W5:W43" si="1">V5-T5</f>
        <v>-5.9689922480620154E-2</v>
      </c>
      <c r="X5" s="30">
        <v>46195</v>
      </c>
      <c r="Y5" s="30">
        <v>46196</v>
      </c>
      <c r="Z5" s="30">
        <v>46197</v>
      </c>
      <c r="AA5" s="30">
        <v>46198</v>
      </c>
      <c r="AB5" s="30">
        <v>46199</v>
      </c>
      <c r="AC5" s="30">
        <v>46202</v>
      </c>
      <c r="AD5" s="30">
        <v>46203</v>
      </c>
      <c r="AE5" s="30">
        <v>46204</v>
      </c>
      <c r="AF5" s="30">
        <v>46205</v>
      </c>
      <c r="AG5" s="30">
        <v>46206</v>
      </c>
      <c r="AH5" s="31">
        <v>46209</v>
      </c>
      <c r="AI5" s="30">
        <v>46210</v>
      </c>
      <c r="AJ5" s="30">
        <v>46211</v>
      </c>
      <c r="AK5" s="30">
        <v>46212</v>
      </c>
      <c r="AL5" s="30">
        <v>46213</v>
      </c>
      <c r="AM5" s="30">
        <v>46216</v>
      </c>
      <c r="AN5" s="30">
        <v>46217</v>
      </c>
      <c r="AO5" s="30">
        <v>46218</v>
      </c>
      <c r="AP5" s="30">
        <v>46219</v>
      </c>
      <c r="AQ5" s="30">
        <v>46220</v>
      </c>
      <c r="AR5" s="30">
        <v>46223</v>
      </c>
      <c r="AS5" s="30">
        <v>46224</v>
      </c>
      <c r="AT5" s="30">
        <v>46225</v>
      </c>
      <c r="AU5" s="30">
        <v>46226</v>
      </c>
      <c r="AV5" s="30">
        <v>46227</v>
      </c>
      <c r="AW5" s="30">
        <v>46230</v>
      </c>
      <c r="AX5" s="30">
        <v>46231</v>
      </c>
      <c r="AY5" s="30">
        <v>46232</v>
      </c>
      <c r="AZ5" s="30">
        <v>46233</v>
      </c>
      <c r="BA5" s="30">
        <v>46234</v>
      </c>
      <c r="BB5" s="30">
        <v>46237</v>
      </c>
      <c r="BC5" s="30">
        <v>46238</v>
      </c>
      <c r="BD5" s="30">
        <v>46239</v>
      </c>
      <c r="BE5" s="30">
        <v>46240</v>
      </c>
      <c r="BF5" s="30">
        <v>46241</v>
      </c>
      <c r="BG5" s="30">
        <v>46244</v>
      </c>
      <c r="BH5" s="30">
        <v>46245</v>
      </c>
      <c r="BI5" s="30">
        <v>46246</v>
      </c>
      <c r="BJ5" s="30">
        <v>46247</v>
      </c>
      <c r="BK5" s="31">
        <v>46248</v>
      </c>
      <c r="BL5" s="31">
        <v>46251</v>
      </c>
      <c r="BM5" s="30">
        <v>46252</v>
      </c>
      <c r="BN5" s="30">
        <v>46253</v>
      </c>
      <c r="BO5" s="30">
        <v>46254</v>
      </c>
      <c r="BP5" s="30">
        <v>46255</v>
      </c>
      <c r="BQ5" s="30">
        <v>46258</v>
      </c>
      <c r="BR5" s="30">
        <v>46259</v>
      </c>
      <c r="BS5" s="30">
        <v>46260</v>
      </c>
      <c r="BT5" s="30">
        <v>46261</v>
      </c>
      <c r="BU5" s="30">
        <v>46262</v>
      </c>
      <c r="BV5" s="30">
        <v>46265</v>
      </c>
      <c r="BW5" s="30">
        <v>46266</v>
      </c>
      <c r="BX5" s="30">
        <v>46267</v>
      </c>
      <c r="BY5" s="30">
        <v>46268</v>
      </c>
      <c r="BZ5" s="31">
        <v>46269</v>
      </c>
      <c r="CA5" s="30">
        <v>46272</v>
      </c>
      <c r="CB5" s="30">
        <v>46273</v>
      </c>
      <c r="CC5" s="30">
        <v>46274</v>
      </c>
      <c r="CD5" s="30">
        <v>46275</v>
      </c>
      <c r="CE5" s="30">
        <v>46276</v>
      </c>
      <c r="CF5" s="30">
        <v>46279</v>
      </c>
      <c r="CG5" s="30">
        <v>46280</v>
      </c>
      <c r="CH5" s="30">
        <v>46281</v>
      </c>
      <c r="CI5" s="30">
        <v>46282</v>
      </c>
      <c r="CJ5" s="30">
        <v>46283</v>
      </c>
      <c r="CK5" s="30">
        <v>46286</v>
      </c>
      <c r="CL5" s="30">
        <v>46287</v>
      </c>
      <c r="CM5" s="30">
        <v>46288</v>
      </c>
      <c r="CN5" s="30">
        <v>46289</v>
      </c>
      <c r="CO5" s="30">
        <v>46290</v>
      </c>
      <c r="CP5" s="30">
        <v>46293</v>
      </c>
      <c r="CQ5" s="30">
        <v>46294</v>
      </c>
      <c r="CR5" s="30">
        <v>46295</v>
      </c>
      <c r="CS5" s="30">
        <v>46296</v>
      </c>
      <c r="CT5" s="30">
        <v>46297</v>
      </c>
      <c r="CU5" s="30">
        <v>46300</v>
      </c>
      <c r="CV5" s="30">
        <v>46301</v>
      </c>
      <c r="CW5" s="30">
        <v>46302</v>
      </c>
      <c r="CX5" s="30">
        <v>46303</v>
      </c>
      <c r="CY5" s="30">
        <v>46304</v>
      </c>
      <c r="CZ5" s="30">
        <v>46307</v>
      </c>
      <c r="DA5" s="30">
        <v>46308</v>
      </c>
      <c r="DB5" s="31">
        <v>46309</v>
      </c>
      <c r="DC5" s="30">
        <v>46310</v>
      </c>
      <c r="DD5" s="30">
        <v>46311</v>
      </c>
      <c r="DE5" s="30">
        <v>46314</v>
      </c>
      <c r="DF5" s="30">
        <v>46315</v>
      </c>
      <c r="DG5" s="30">
        <v>46316</v>
      </c>
      <c r="DH5" s="30">
        <v>46317</v>
      </c>
      <c r="DI5" s="30">
        <v>46318</v>
      </c>
      <c r="DJ5" s="30">
        <v>46321</v>
      </c>
      <c r="DK5" s="30">
        <v>46322</v>
      </c>
      <c r="DL5" s="30">
        <v>46323</v>
      </c>
      <c r="DM5" s="30">
        <v>46324</v>
      </c>
      <c r="DN5" s="30">
        <v>46325</v>
      </c>
      <c r="DO5" s="30">
        <v>46328</v>
      </c>
      <c r="DP5" s="30">
        <v>46329</v>
      </c>
      <c r="DQ5" s="30">
        <v>46330</v>
      </c>
      <c r="DR5" s="30">
        <v>46331</v>
      </c>
      <c r="DS5" s="30">
        <v>46332</v>
      </c>
      <c r="DT5" s="31">
        <v>46335</v>
      </c>
      <c r="DU5" s="30">
        <v>46336</v>
      </c>
      <c r="DV5" s="30">
        <v>46337</v>
      </c>
      <c r="DW5" s="30">
        <v>46338</v>
      </c>
      <c r="DX5" s="30">
        <v>46339</v>
      </c>
      <c r="DY5" s="30">
        <v>46342</v>
      </c>
      <c r="DZ5" s="30">
        <v>46343</v>
      </c>
      <c r="EA5" s="31">
        <v>46344</v>
      </c>
      <c r="EB5" s="30">
        <v>46345</v>
      </c>
      <c r="EC5" s="30">
        <v>46346</v>
      </c>
      <c r="ED5" s="30">
        <v>46349</v>
      </c>
      <c r="EE5" s="30">
        <v>46350</v>
      </c>
      <c r="EF5" s="30">
        <v>46351</v>
      </c>
      <c r="EG5" s="30">
        <v>46352</v>
      </c>
      <c r="EH5" s="30">
        <v>46353</v>
      </c>
      <c r="EI5" s="30">
        <v>46356</v>
      </c>
      <c r="EJ5" s="30">
        <v>46357</v>
      </c>
      <c r="EK5" s="30">
        <v>46358</v>
      </c>
      <c r="EL5" s="30">
        <v>46359</v>
      </c>
      <c r="EM5" s="30">
        <v>46360</v>
      </c>
      <c r="EN5" s="30">
        <v>46363</v>
      </c>
      <c r="EO5" s="30">
        <v>46364</v>
      </c>
      <c r="EP5" s="30">
        <v>46365</v>
      </c>
      <c r="EQ5" s="31">
        <v>46366</v>
      </c>
      <c r="ER5" s="30">
        <v>46367</v>
      </c>
      <c r="ES5" s="30">
        <v>46370</v>
      </c>
      <c r="ET5" s="30">
        <v>46371</v>
      </c>
      <c r="EU5" s="30">
        <v>46372</v>
      </c>
      <c r="EV5" s="30">
        <v>46373</v>
      </c>
      <c r="EW5" s="30">
        <v>46374</v>
      </c>
      <c r="EX5" s="30">
        <v>46377</v>
      </c>
      <c r="EY5" s="30">
        <v>46378</v>
      </c>
      <c r="EZ5" s="30">
        <v>46379</v>
      </c>
      <c r="FA5" s="30">
        <v>46380</v>
      </c>
      <c r="FB5" s="30">
        <v>46381</v>
      </c>
      <c r="FC5" s="30">
        <v>46384</v>
      </c>
      <c r="FD5" s="30">
        <v>46385</v>
      </c>
      <c r="FE5" s="30">
        <v>46386</v>
      </c>
      <c r="FF5" s="30">
        <v>46387</v>
      </c>
      <c r="FG5" s="30">
        <v>46388</v>
      </c>
    </row>
    <row r="6" spans="1:163" ht="19.5" customHeight="1">
      <c r="A6" s="32"/>
      <c r="B6" s="33">
        <v>1</v>
      </c>
      <c r="C6" s="34">
        <v>0.1</v>
      </c>
      <c r="D6" s="35" t="s">
        <v>33</v>
      </c>
      <c r="E6" s="36"/>
      <c r="F6" s="177" t="s">
        <v>34</v>
      </c>
      <c r="G6" s="178"/>
      <c r="H6" s="37" t="s">
        <v>35</v>
      </c>
      <c r="I6" s="38" t="s">
        <v>36</v>
      </c>
      <c r="J6" s="38"/>
      <c r="K6" s="39" t="s">
        <v>37</v>
      </c>
      <c r="L6" s="39">
        <v>46322</v>
      </c>
      <c r="M6" s="39">
        <v>46322</v>
      </c>
      <c r="N6" s="39">
        <v>46322</v>
      </c>
      <c r="O6" s="39">
        <v>46322</v>
      </c>
      <c r="P6" s="40">
        <f>NETWORKDAYS(L6,M6,휴일!$A$2:$A$8)</f>
        <v>1</v>
      </c>
      <c r="Q6" s="41">
        <f>IF(NETWORKDAYS(N6,O6,휴일!$A$2:$A$8)&lt;0,"",NETWORKDAYS(N6,O6,휴일!$A$2:$A$8))</f>
        <v>1</v>
      </c>
      <c r="R6" s="38">
        <f>IFERROR(IF(M6&gt;=$M$1,IF(NETWORKDAYS(L6,$M$1,휴일!$A$2:$A$8)&gt;0,NETWORKDAYS(L6,$M$1,휴일!$A$2:$A$8),""),NETWORKDAYS(L6,M6,휴일!$A$2:$A$8)),"")</f>
        <v>1</v>
      </c>
      <c r="S6" s="42">
        <f>IF(IFERROR(IF(O6&gt;=$M$1,IF(NETWORKDAYS(N6,$M$1,휴일!$A$2:$A$8)&gt;0,NETWORKDAYS(N6,$M$1,휴일!$A$2:$A$8),""),NETWORKDAYS(N6,O6,휴일!$A$2:$A$8)),"")&lt;0,"",IFERROR(IF(O6&gt;=$M$1,IF(NETWORKDAYS(N6,$M$1,휴일!$A$2:$A$8)&gt;0,NETWORKDAYS(N6,$M$1,휴일!$A$2:$A$8),""),NETWORKDAYS(N6,O6,휴일!$A$2:$A$8)),""))</f>
        <v>1</v>
      </c>
      <c r="T6" s="43">
        <f t="shared" ref="T6:T43" si="2">IFERROR(R6/P6,0)</f>
        <v>1</v>
      </c>
      <c r="U6" s="44">
        <f t="shared" ref="U6:U43" si="3">IFERROR(S6/Q6,0)</f>
        <v>1</v>
      </c>
      <c r="V6" s="45">
        <f t="shared" ref="V6:V43" si="4">IF(OR(ISBLANK(S6),ISBLANK(P6),S6&lt;=0,P6&lt;=0),0,IF(S6="",0,1-(S6-P6)/P6))</f>
        <v>1</v>
      </c>
      <c r="W6" s="45">
        <f t="shared" si="1"/>
        <v>0</v>
      </c>
      <c r="X6" s="46"/>
      <c r="Y6" s="47"/>
      <c r="Z6" s="47"/>
      <c r="AA6" s="47"/>
      <c r="AB6" s="48"/>
      <c r="AC6" s="46"/>
      <c r="AD6" s="47"/>
      <c r="AE6" s="47"/>
      <c r="AF6" s="47"/>
      <c r="AG6" s="48"/>
      <c r="AH6" s="49"/>
      <c r="AI6" s="47"/>
      <c r="AJ6" s="47"/>
      <c r="AK6" s="47"/>
      <c r="AL6" s="48"/>
      <c r="AM6" s="46"/>
      <c r="AN6" s="47"/>
      <c r="AO6" s="47"/>
      <c r="AP6" s="47"/>
      <c r="AQ6" s="48"/>
      <c r="AR6" s="46"/>
      <c r="AS6" s="47"/>
      <c r="AT6" s="47"/>
      <c r="AU6" s="47"/>
      <c r="AV6" s="48"/>
      <c r="AW6" s="46"/>
      <c r="AX6" s="47"/>
      <c r="AY6" s="47"/>
      <c r="AZ6" s="47"/>
      <c r="BA6" s="48"/>
      <c r="BB6" s="46"/>
      <c r="BC6" s="47"/>
      <c r="BD6" s="47"/>
      <c r="BE6" s="47"/>
      <c r="BF6" s="48"/>
      <c r="BG6" s="46"/>
      <c r="BH6" s="47"/>
      <c r="BI6" s="47"/>
      <c r="BJ6" s="47"/>
      <c r="BK6" s="50"/>
      <c r="BL6" s="49"/>
      <c r="BM6" s="47"/>
      <c r="BN6" s="47"/>
      <c r="BO6" s="47"/>
      <c r="BP6" s="48"/>
      <c r="BQ6" s="46"/>
      <c r="BR6" s="51"/>
      <c r="BS6" s="51"/>
      <c r="BT6" s="51"/>
      <c r="BU6" s="52"/>
      <c r="BV6" s="46"/>
      <c r="BW6" s="51"/>
      <c r="BX6" s="51"/>
      <c r="BY6" s="51"/>
      <c r="BZ6" s="53"/>
      <c r="CA6" s="46"/>
      <c r="CB6" s="51"/>
      <c r="CC6" s="51"/>
      <c r="CD6" s="51"/>
      <c r="CE6" s="52"/>
      <c r="CF6" s="46"/>
      <c r="CG6" s="51"/>
      <c r="CH6" s="51"/>
      <c r="CI6" s="51"/>
      <c r="CJ6" s="52"/>
      <c r="CK6" s="46"/>
      <c r="CL6" s="51"/>
      <c r="CM6" s="51"/>
      <c r="CN6" s="51"/>
      <c r="CO6" s="52"/>
      <c r="CP6" s="46"/>
      <c r="CQ6" s="51"/>
      <c r="CR6" s="51"/>
      <c r="CS6" s="51"/>
      <c r="CT6" s="52"/>
      <c r="CU6" s="46"/>
      <c r="CV6" s="51"/>
      <c r="CW6" s="51"/>
      <c r="CX6" s="51"/>
      <c r="CY6" s="52"/>
      <c r="CZ6" s="46"/>
      <c r="DA6" s="51"/>
      <c r="DB6" s="54"/>
      <c r="DC6" s="51"/>
      <c r="DD6" s="52"/>
      <c r="DE6" s="46"/>
      <c r="DF6" s="51"/>
      <c r="DG6" s="51"/>
      <c r="DH6" s="51"/>
      <c r="DI6" s="52"/>
      <c r="DJ6" s="46"/>
      <c r="DK6" s="51"/>
      <c r="DL6" s="51"/>
      <c r="DM6" s="51"/>
      <c r="DN6" s="52"/>
      <c r="DO6" s="46"/>
      <c r="DP6" s="51"/>
      <c r="DQ6" s="51"/>
      <c r="DR6" s="51"/>
      <c r="DS6" s="52"/>
      <c r="DT6" s="49"/>
      <c r="DU6" s="51"/>
      <c r="DV6" s="51"/>
      <c r="DW6" s="51"/>
      <c r="DX6" s="52"/>
      <c r="DY6" s="46"/>
      <c r="DZ6" s="46"/>
      <c r="EA6" s="54"/>
      <c r="EB6" s="51"/>
      <c r="EC6" s="52"/>
      <c r="ED6" s="46"/>
      <c r="EE6" s="51"/>
      <c r="EF6" s="51"/>
      <c r="EG6" s="51"/>
      <c r="EH6" s="52"/>
      <c r="EI6" s="46"/>
      <c r="EJ6" s="51"/>
      <c r="EK6" s="51"/>
      <c r="EL6" s="51"/>
      <c r="EM6" s="52"/>
      <c r="EN6" s="46"/>
      <c r="EO6" s="51"/>
      <c r="EP6" s="51"/>
      <c r="EQ6" s="54"/>
      <c r="ER6" s="52"/>
      <c r="ES6" s="46"/>
      <c r="ET6" s="51"/>
      <c r="EU6" s="51"/>
      <c r="EV6" s="51"/>
      <c r="EW6" s="52"/>
      <c r="EX6" s="46"/>
      <c r="EY6" s="51"/>
      <c r="EZ6" s="51"/>
      <c r="FA6" s="51"/>
      <c r="FB6" s="52"/>
      <c r="FC6" s="46"/>
      <c r="FD6" s="46"/>
      <c r="FE6" s="51"/>
      <c r="FF6" s="51"/>
      <c r="FG6" s="51"/>
    </row>
    <row r="7" spans="1:163" ht="19.5" customHeight="1">
      <c r="A7" s="32"/>
      <c r="B7" s="33"/>
      <c r="C7" s="55"/>
      <c r="D7" s="35"/>
      <c r="E7" s="36"/>
      <c r="F7" s="177" t="s">
        <v>38</v>
      </c>
      <c r="G7" s="178"/>
      <c r="H7" s="37" t="s">
        <v>35</v>
      </c>
      <c r="I7" s="38"/>
      <c r="J7" s="38"/>
      <c r="K7" s="39" t="s">
        <v>39</v>
      </c>
      <c r="L7" s="39">
        <v>46322</v>
      </c>
      <c r="M7" s="39">
        <v>46322</v>
      </c>
      <c r="N7" s="39">
        <v>46322</v>
      </c>
      <c r="O7" s="39">
        <v>46322</v>
      </c>
      <c r="P7" s="40">
        <f>NETWORKDAYS(L7,M7,휴일!$A$2:$A$8)</f>
        <v>1</v>
      </c>
      <c r="Q7" s="41">
        <f>IF(NETWORKDAYS(N7,O7,휴일!$A$2:$A$8)&lt;0,"",NETWORKDAYS(N7,O7,휴일!$A$2:$A$8))</f>
        <v>1</v>
      </c>
      <c r="R7" s="38">
        <f>IFERROR(IF(M7&gt;=$M$1,IF(NETWORKDAYS(L7,$M$1,휴일!$A$2:$A$8)&gt;0,NETWORKDAYS(L7,$M$1,휴일!$A$2:$A$8),""),NETWORKDAYS(L7,M7,휴일!$A$2:$A$8)),"")</f>
        <v>1</v>
      </c>
      <c r="S7" s="42">
        <f>IF(IFERROR(IF(O7&gt;=$M$1,IF(NETWORKDAYS(N7,$M$1,휴일!$A$2:$A$8)&gt;0,NETWORKDAYS(N7,$M$1,휴일!$A$2:$A$8),""),NETWORKDAYS(N7,O7,휴일!$A$2:$A$8)),"")&lt;0,"",IFERROR(IF(O7&gt;=$M$1,IF(NETWORKDAYS(N7,$M$1,휴일!$A$2:$A$8)&gt;0,NETWORKDAYS(N7,$M$1,휴일!$A$2:$A$8),""),NETWORKDAYS(N7,O7,휴일!$A$2:$A$8)),""))</f>
        <v>1</v>
      </c>
      <c r="T7" s="43">
        <f t="shared" si="2"/>
        <v>1</v>
      </c>
      <c r="U7" s="44">
        <f t="shared" si="3"/>
        <v>1</v>
      </c>
      <c r="V7" s="45">
        <f t="shared" si="4"/>
        <v>1</v>
      </c>
      <c r="W7" s="45">
        <f t="shared" si="1"/>
        <v>0</v>
      </c>
      <c r="X7" s="46"/>
      <c r="Y7" s="46"/>
      <c r="Z7" s="46"/>
      <c r="AA7" s="46"/>
      <c r="AB7" s="56"/>
      <c r="AC7" s="46"/>
      <c r="AD7" s="46"/>
      <c r="AE7" s="46"/>
      <c r="AF7" s="46"/>
      <c r="AG7" s="56"/>
      <c r="AH7" s="49"/>
      <c r="AI7" s="46"/>
      <c r="AJ7" s="46"/>
      <c r="AK7" s="46"/>
      <c r="AL7" s="56"/>
      <c r="AM7" s="46"/>
      <c r="AN7" s="46"/>
      <c r="AO7" s="46"/>
      <c r="AP7" s="46"/>
      <c r="AQ7" s="56"/>
      <c r="AR7" s="46"/>
      <c r="AS7" s="46"/>
      <c r="AT7" s="46"/>
      <c r="AU7" s="46"/>
      <c r="AV7" s="56"/>
      <c r="AW7" s="46"/>
      <c r="AX7" s="46"/>
      <c r="AY7" s="46"/>
      <c r="AZ7" s="46"/>
      <c r="BA7" s="56"/>
      <c r="BB7" s="46"/>
      <c r="BC7" s="46"/>
      <c r="BD7" s="46"/>
      <c r="BE7" s="46"/>
      <c r="BF7" s="56"/>
      <c r="BG7" s="46"/>
      <c r="BH7" s="46"/>
      <c r="BI7" s="46"/>
      <c r="BJ7" s="46"/>
      <c r="BK7" s="57"/>
      <c r="BL7" s="49"/>
      <c r="BM7" s="46"/>
      <c r="BN7" s="46"/>
      <c r="BO7" s="46"/>
      <c r="BP7" s="56"/>
      <c r="BQ7" s="46"/>
      <c r="BR7" s="46"/>
      <c r="BS7" s="46"/>
      <c r="BT7" s="46"/>
      <c r="BU7" s="56"/>
      <c r="BV7" s="46"/>
      <c r="BW7" s="46"/>
      <c r="BX7" s="46"/>
      <c r="BY7" s="46"/>
      <c r="BZ7" s="57"/>
      <c r="CA7" s="46"/>
      <c r="CB7" s="58"/>
      <c r="CC7" s="58"/>
      <c r="CD7" s="58"/>
      <c r="CE7" s="59"/>
      <c r="CF7" s="46"/>
      <c r="CG7" s="58"/>
      <c r="CH7" s="58"/>
      <c r="CI7" s="58"/>
      <c r="CJ7" s="59"/>
      <c r="CK7" s="46"/>
      <c r="CL7" s="58"/>
      <c r="CM7" s="58"/>
      <c r="CN7" s="58"/>
      <c r="CO7" s="59"/>
      <c r="CP7" s="46"/>
      <c r="CQ7" s="58"/>
      <c r="CR7" s="58"/>
      <c r="CS7" s="58"/>
      <c r="CT7" s="59"/>
      <c r="CU7" s="46"/>
      <c r="CV7" s="58"/>
      <c r="CW7" s="58"/>
      <c r="CX7" s="58"/>
      <c r="CY7" s="59"/>
      <c r="CZ7" s="46"/>
      <c r="DA7" s="58"/>
      <c r="DB7" s="60"/>
      <c r="DC7" s="58"/>
      <c r="DD7" s="59"/>
      <c r="DE7" s="46"/>
      <c r="DF7" s="58"/>
      <c r="DG7" s="58"/>
      <c r="DH7" s="58"/>
      <c r="DI7" s="59"/>
      <c r="DJ7" s="46"/>
      <c r="DK7" s="58"/>
      <c r="DL7" s="58"/>
      <c r="DM7" s="58"/>
      <c r="DN7" s="59"/>
      <c r="DO7" s="46"/>
      <c r="DP7" s="58"/>
      <c r="DQ7" s="58"/>
      <c r="DR7" s="58"/>
      <c r="DS7" s="59"/>
      <c r="DT7" s="49"/>
      <c r="DU7" s="58"/>
      <c r="DV7" s="58"/>
      <c r="DW7" s="58"/>
      <c r="DX7" s="59"/>
      <c r="DY7" s="46"/>
      <c r="DZ7" s="46"/>
      <c r="EA7" s="60"/>
      <c r="EB7" s="58"/>
      <c r="EC7" s="59"/>
      <c r="ED7" s="46"/>
      <c r="EE7" s="58"/>
      <c r="EF7" s="58"/>
      <c r="EG7" s="58"/>
      <c r="EH7" s="59"/>
      <c r="EI7" s="46"/>
      <c r="EJ7" s="58"/>
      <c r="EK7" s="58"/>
      <c r="EL7" s="58"/>
      <c r="EM7" s="59"/>
      <c r="EN7" s="46"/>
      <c r="EO7" s="58"/>
      <c r="EP7" s="58"/>
      <c r="EQ7" s="60"/>
      <c r="ER7" s="59"/>
      <c r="ES7" s="46"/>
      <c r="ET7" s="58"/>
      <c r="EU7" s="58"/>
      <c r="EV7" s="58"/>
      <c r="EW7" s="59"/>
      <c r="EX7" s="46"/>
      <c r="EY7" s="58"/>
      <c r="EZ7" s="58"/>
      <c r="FA7" s="58"/>
      <c r="FB7" s="59"/>
      <c r="FC7" s="46"/>
      <c r="FD7" s="46"/>
      <c r="FE7" s="58"/>
      <c r="FF7" s="58"/>
      <c r="FG7" s="58"/>
    </row>
    <row r="8" spans="1:163" ht="19.5" customHeight="1">
      <c r="A8" s="32"/>
      <c r="B8" s="33"/>
      <c r="C8" s="55"/>
      <c r="D8" s="35"/>
      <c r="E8" s="36"/>
      <c r="F8" s="177" t="s">
        <v>40</v>
      </c>
      <c r="G8" s="178"/>
      <c r="H8" s="37" t="s">
        <v>36</v>
      </c>
      <c r="I8" s="38"/>
      <c r="J8" s="38"/>
      <c r="K8" s="39" t="s">
        <v>41</v>
      </c>
      <c r="L8" s="39">
        <v>46322</v>
      </c>
      <c r="M8" s="39">
        <v>46323</v>
      </c>
      <c r="N8" s="39"/>
      <c r="O8" s="39"/>
      <c r="P8" s="40">
        <f>NETWORKDAYS(L8,M8,휴일!$A$2:$A$8)</f>
        <v>2</v>
      </c>
      <c r="Q8" s="41">
        <f>IF(NETWORKDAYS(N8,O8,휴일!$A$2:$A$8)&lt;0,"",NETWORKDAYS(N8,O8,휴일!$A$2:$A$8))</f>
        <v>0</v>
      </c>
      <c r="R8" s="38">
        <f>IFERROR(IF(M8&gt;=$M$1,IF(NETWORKDAYS(L8,$M$1,휴일!$A$2:$A$8)&gt;0,NETWORKDAYS(L8,$M$1,휴일!$A$2:$A$8),""),NETWORKDAYS(L8,M8,휴일!$A$2:$A$8)),"")</f>
        <v>1</v>
      </c>
      <c r="S8" s="42">
        <f>IF(IFERROR(IF(O8&gt;=$M$1,IF(NETWORKDAYS(N8,$M$1,휴일!$A$2:$A$8)&gt;0,NETWORKDAYS(N8,$M$1,휴일!$A$2:$A$8),""),NETWORKDAYS(N8,O8,휴일!$A$2:$A$8)),"")&lt;0,"",IFERROR(IF(O8&gt;=$M$1,IF(NETWORKDAYS(N8,$M$1,휴일!$A$2:$A$8)&gt;0,NETWORKDAYS(N8,$M$1,휴일!$A$2:$A$8),""),NETWORKDAYS(N8,O8,휴일!$A$2:$A$8)),""))</f>
        <v>0</v>
      </c>
      <c r="T8" s="43">
        <f t="shared" si="2"/>
        <v>0.5</v>
      </c>
      <c r="U8" s="44">
        <f t="shared" si="3"/>
        <v>0</v>
      </c>
      <c r="V8" s="45">
        <f t="shared" si="4"/>
        <v>0</v>
      </c>
      <c r="W8" s="45">
        <f t="shared" si="1"/>
        <v>-0.5</v>
      </c>
      <c r="X8" s="61"/>
      <c r="Y8" s="46"/>
      <c r="Z8" s="46"/>
      <c r="AA8" s="46"/>
      <c r="AB8" s="56"/>
      <c r="AC8" s="46"/>
      <c r="AD8" s="46"/>
      <c r="AE8" s="46"/>
      <c r="AF8" s="46"/>
      <c r="AG8" s="56"/>
      <c r="AH8" s="49"/>
      <c r="AI8" s="46"/>
      <c r="AJ8" s="46"/>
      <c r="AK8" s="46"/>
      <c r="AL8" s="56"/>
      <c r="AM8" s="46"/>
      <c r="AN8" s="46"/>
      <c r="AO8" s="46"/>
      <c r="AP8" s="46"/>
      <c r="AQ8" s="56"/>
      <c r="AR8" s="46"/>
      <c r="AS8" s="46"/>
      <c r="AT8" s="46"/>
      <c r="AU8" s="46"/>
      <c r="AV8" s="56"/>
      <c r="AW8" s="46"/>
      <c r="AX8" s="46"/>
      <c r="AY8" s="46"/>
      <c r="AZ8" s="46"/>
      <c r="BA8" s="56"/>
      <c r="BB8" s="46"/>
      <c r="BC8" s="46"/>
      <c r="BD8" s="46"/>
      <c r="BE8" s="46"/>
      <c r="BF8" s="56"/>
      <c r="BG8" s="46"/>
      <c r="BH8" s="46"/>
      <c r="BI8" s="46"/>
      <c r="BJ8" s="46"/>
      <c r="BK8" s="57"/>
      <c r="BL8" s="49"/>
      <c r="BM8" s="46"/>
      <c r="BN8" s="46"/>
      <c r="BO8" s="46"/>
      <c r="BP8" s="56"/>
      <c r="BQ8" s="46"/>
      <c r="BR8" s="46"/>
      <c r="BS8" s="46"/>
      <c r="BT8" s="46"/>
      <c r="BU8" s="56"/>
      <c r="BV8" s="46"/>
      <c r="BW8" s="46"/>
      <c r="BX8" s="46"/>
      <c r="BY8" s="46"/>
      <c r="BZ8" s="57"/>
      <c r="CA8" s="46"/>
      <c r="CB8" s="58"/>
      <c r="CC8" s="58"/>
      <c r="CD8" s="58"/>
      <c r="CE8" s="59"/>
      <c r="CF8" s="46"/>
      <c r="CG8" s="58"/>
      <c r="CH8" s="58"/>
      <c r="CI8" s="58"/>
      <c r="CJ8" s="59"/>
      <c r="CK8" s="46"/>
      <c r="CL8" s="58"/>
      <c r="CM8" s="58"/>
      <c r="CN8" s="58"/>
      <c r="CO8" s="59"/>
      <c r="CP8" s="46"/>
      <c r="CQ8" s="58"/>
      <c r="CR8" s="58"/>
      <c r="CS8" s="58"/>
      <c r="CT8" s="59"/>
      <c r="CU8" s="46"/>
      <c r="CV8" s="58"/>
      <c r="CW8" s="58"/>
      <c r="CX8" s="58"/>
      <c r="CY8" s="59"/>
      <c r="CZ8" s="46"/>
      <c r="DA8" s="58"/>
      <c r="DB8" s="60"/>
      <c r="DC8" s="58"/>
      <c r="DD8" s="59"/>
      <c r="DE8" s="46"/>
      <c r="DF8" s="58"/>
      <c r="DG8" s="58"/>
      <c r="DH8" s="58"/>
      <c r="DI8" s="59"/>
      <c r="DJ8" s="46"/>
      <c r="DK8" s="58"/>
      <c r="DL8" s="58"/>
      <c r="DM8" s="58"/>
      <c r="DN8" s="59"/>
      <c r="DO8" s="46"/>
      <c r="DP8" s="58"/>
      <c r="DQ8" s="58"/>
      <c r="DR8" s="58"/>
      <c r="DS8" s="59"/>
      <c r="DT8" s="49"/>
      <c r="DU8" s="58"/>
      <c r="DV8" s="58"/>
      <c r="DW8" s="58"/>
      <c r="DX8" s="59"/>
      <c r="DY8" s="46"/>
      <c r="DZ8" s="46"/>
      <c r="EA8" s="60"/>
      <c r="EB8" s="58"/>
      <c r="EC8" s="59"/>
      <c r="ED8" s="46"/>
      <c r="EE8" s="58"/>
      <c r="EF8" s="58"/>
      <c r="EG8" s="58"/>
      <c r="EH8" s="59"/>
      <c r="EI8" s="46"/>
      <c r="EJ8" s="58"/>
      <c r="EK8" s="58"/>
      <c r="EL8" s="58"/>
      <c r="EM8" s="59"/>
      <c r="EN8" s="46"/>
      <c r="EO8" s="58"/>
      <c r="EP8" s="58"/>
      <c r="EQ8" s="60"/>
      <c r="ER8" s="59"/>
      <c r="ES8" s="46"/>
      <c r="ET8" s="58"/>
      <c r="EU8" s="58"/>
      <c r="EV8" s="58"/>
      <c r="EW8" s="59"/>
      <c r="EX8" s="46"/>
      <c r="EY8" s="58"/>
      <c r="EZ8" s="58"/>
      <c r="FA8" s="58"/>
      <c r="FB8" s="59"/>
      <c r="FC8" s="46"/>
      <c r="FD8" s="46"/>
      <c r="FE8" s="58"/>
      <c r="FF8" s="58"/>
      <c r="FG8" s="58"/>
    </row>
    <row r="9" spans="1:163" ht="19.5" customHeight="1">
      <c r="A9" s="32"/>
      <c r="B9" s="33"/>
      <c r="C9" s="55"/>
      <c r="D9" s="35"/>
      <c r="E9" s="36"/>
      <c r="F9" s="207" t="s">
        <v>42</v>
      </c>
      <c r="G9" s="178"/>
      <c r="H9" s="37" t="s">
        <v>43</v>
      </c>
      <c r="I9" s="38"/>
      <c r="J9" s="38"/>
      <c r="K9" s="39" t="s">
        <v>44</v>
      </c>
      <c r="L9" s="39">
        <v>46322</v>
      </c>
      <c r="M9" s="39">
        <v>46323</v>
      </c>
      <c r="N9" s="39"/>
      <c r="O9" s="39"/>
      <c r="P9" s="40">
        <f>NETWORKDAYS(L9,M9,휴일!$A$2:$A$8)</f>
        <v>2</v>
      </c>
      <c r="Q9" s="41">
        <f>IF(NETWORKDAYS(N9,O9,휴일!$A$2:$A$8)&lt;0,"",NETWORKDAYS(N9,O9,휴일!$A$2:$A$8))</f>
        <v>0</v>
      </c>
      <c r="R9" s="38">
        <f>IFERROR(IF(M9&gt;=$M$1,IF(NETWORKDAYS(L9,$M$1,휴일!$A$2:$A$8)&gt;0,NETWORKDAYS(L9,$M$1,휴일!$A$2:$A$8),""),NETWORKDAYS(L9,M9,휴일!$A$2:$A$8)),"")</f>
        <v>1</v>
      </c>
      <c r="S9" s="42">
        <f>IF(IFERROR(IF(O9&gt;=$M$1,IF(NETWORKDAYS(N9,$M$1,휴일!$A$2:$A$8)&gt;0,NETWORKDAYS(N9,$M$1,휴일!$A$2:$A$8),""),NETWORKDAYS(N9,O9,휴일!$A$2:$A$8)),"")&lt;0,"",IFERROR(IF(O9&gt;=$M$1,IF(NETWORKDAYS(N9,$M$1,휴일!$A$2:$A$8)&gt;0,NETWORKDAYS(N9,$M$1,휴일!$A$2:$A$8),""),NETWORKDAYS(N9,O9,휴일!$A$2:$A$8)),""))</f>
        <v>0</v>
      </c>
      <c r="T9" s="43">
        <f t="shared" si="2"/>
        <v>0.5</v>
      </c>
      <c r="U9" s="44">
        <f t="shared" si="3"/>
        <v>0</v>
      </c>
      <c r="V9" s="45">
        <f t="shared" si="4"/>
        <v>0</v>
      </c>
      <c r="W9" s="45">
        <f t="shared" si="1"/>
        <v>-0.5</v>
      </c>
      <c r="X9" s="46"/>
      <c r="Y9" s="46"/>
      <c r="Z9" s="46"/>
      <c r="AA9" s="46"/>
      <c r="AB9" s="56"/>
      <c r="AC9" s="46"/>
      <c r="AD9" s="46"/>
      <c r="AE9" s="46"/>
      <c r="AF9" s="46"/>
      <c r="AG9" s="56"/>
      <c r="AH9" s="49"/>
      <c r="AI9" s="46"/>
      <c r="AJ9" s="46"/>
      <c r="AK9" s="46"/>
      <c r="AL9" s="56"/>
      <c r="AM9" s="46"/>
      <c r="AN9" s="46"/>
      <c r="AO9" s="46"/>
      <c r="AP9" s="46"/>
      <c r="AQ9" s="56"/>
      <c r="AR9" s="46"/>
      <c r="AS9" s="46"/>
      <c r="AT9" s="46"/>
      <c r="AU9" s="46"/>
      <c r="AV9" s="56"/>
      <c r="AW9" s="46"/>
      <c r="AX9" s="46"/>
      <c r="AY9" s="46"/>
      <c r="AZ9" s="46"/>
      <c r="BA9" s="56"/>
      <c r="BB9" s="46"/>
      <c r="BC9" s="46"/>
      <c r="BD9" s="46"/>
      <c r="BE9" s="46"/>
      <c r="BF9" s="56"/>
      <c r="BG9" s="46"/>
      <c r="BH9" s="46"/>
      <c r="BI9" s="46"/>
      <c r="BJ9" s="46"/>
      <c r="BK9" s="57"/>
      <c r="BL9" s="49"/>
      <c r="BM9" s="46"/>
      <c r="BN9" s="46"/>
      <c r="BO9" s="46"/>
      <c r="BP9" s="56"/>
      <c r="BQ9" s="46"/>
      <c r="BR9" s="46"/>
      <c r="BS9" s="46"/>
      <c r="BT9" s="46"/>
      <c r="BU9" s="56"/>
      <c r="BV9" s="46"/>
      <c r="BW9" s="46"/>
      <c r="BX9" s="46"/>
      <c r="BY9" s="46"/>
      <c r="BZ9" s="57"/>
      <c r="CA9" s="46"/>
      <c r="CB9" s="58"/>
      <c r="CC9" s="58"/>
      <c r="CD9" s="58"/>
      <c r="CE9" s="59"/>
      <c r="CF9" s="46"/>
      <c r="CG9" s="58"/>
      <c r="CH9" s="58"/>
      <c r="CI9" s="58"/>
      <c r="CJ9" s="59"/>
      <c r="CK9" s="46"/>
      <c r="CL9" s="58"/>
      <c r="CM9" s="58"/>
      <c r="CN9" s="58"/>
      <c r="CO9" s="59"/>
      <c r="CP9" s="46"/>
      <c r="CQ9" s="58"/>
      <c r="CR9" s="58"/>
      <c r="CS9" s="58"/>
      <c r="CT9" s="59"/>
      <c r="CU9" s="46"/>
      <c r="CV9" s="58"/>
      <c r="CW9" s="58"/>
      <c r="CX9" s="58"/>
      <c r="CY9" s="59"/>
      <c r="CZ9" s="46"/>
      <c r="DA9" s="58"/>
      <c r="DB9" s="60"/>
      <c r="DC9" s="58"/>
      <c r="DD9" s="59"/>
      <c r="DE9" s="46"/>
      <c r="DF9" s="58"/>
      <c r="DG9" s="58"/>
      <c r="DH9" s="58"/>
      <c r="DI9" s="59"/>
      <c r="DJ9" s="46"/>
      <c r="DK9" s="58"/>
      <c r="DL9" s="58"/>
      <c r="DM9" s="58"/>
      <c r="DN9" s="59"/>
      <c r="DO9" s="46"/>
      <c r="DP9" s="58"/>
      <c r="DQ9" s="58"/>
      <c r="DR9" s="58"/>
      <c r="DS9" s="59"/>
      <c r="DT9" s="49"/>
      <c r="DU9" s="58"/>
      <c r="DV9" s="58"/>
      <c r="DW9" s="58"/>
      <c r="DX9" s="59"/>
      <c r="DY9" s="46"/>
      <c r="DZ9" s="46"/>
      <c r="EA9" s="60"/>
      <c r="EB9" s="58"/>
      <c r="EC9" s="59"/>
      <c r="ED9" s="46"/>
      <c r="EE9" s="58"/>
      <c r="EF9" s="58"/>
      <c r="EG9" s="58"/>
      <c r="EH9" s="59"/>
      <c r="EI9" s="46"/>
      <c r="EJ9" s="58"/>
      <c r="EK9" s="58"/>
      <c r="EL9" s="58"/>
      <c r="EM9" s="59"/>
      <c r="EN9" s="46"/>
      <c r="EO9" s="58"/>
      <c r="EP9" s="58"/>
      <c r="EQ9" s="60"/>
      <c r="ER9" s="59"/>
      <c r="ES9" s="46"/>
      <c r="ET9" s="58"/>
      <c r="EU9" s="58"/>
      <c r="EV9" s="58"/>
      <c r="EW9" s="59"/>
      <c r="EX9" s="46"/>
      <c r="EY9" s="58"/>
      <c r="EZ9" s="58"/>
      <c r="FA9" s="58"/>
      <c r="FB9" s="59"/>
      <c r="FC9" s="46"/>
      <c r="FD9" s="46"/>
      <c r="FE9" s="58"/>
      <c r="FF9" s="58"/>
      <c r="FG9" s="58"/>
    </row>
    <row r="10" spans="1:163" ht="19.5" customHeight="1">
      <c r="A10" s="32"/>
      <c r="B10" s="62"/>
      <c r="C10" s="55"/>
      <c r="D10" s="35"/>
      <c r="E10" s="36"/>
      <c r="F10" s="202" t="s">
        <v>45</v>
      </c>
      <c r="G10" s="178"/>
      <c r="H10" s="37" t="s">
        <v>43</v>
      </c>
      <c r="I10" s="40"/>
      <c r="J10" s="40"/>
      <c r="K10" s="63" t="s">
        <v>46</v>
      </c>
      <c r="L10" s="63">
        <v>46323</v>
      </c>
      <c r="M10" s="63">
        <v>46323</v>
      </c>
      <c r="N10" s="63"/>
      <c r="O10" s="63"/>
      <c r="P10" s="40">
        <f>NETWORKDAYS(L10,M10,휴일!$A$2:$A$8)</f>
        <v>1</v>
      </c>
      <c r="Q10" s="41">
        <f>IF(NETWORKDAYS(N10,O10,휴일!$A$2:$A$8)&lt;0,"",NETWORKDAYS(N10,O10,휴일!$A$2:$A$8))</f>
        <v>0</v>
      </c>
      <c r="R10" s="38" t="str">
        <f>IFERROR(IF(M10&gt;=$M$1,IF(NETWORKDAYS(L10,$M$1,휴일!$A$2:$A$8)&gt;0,NETWORKDAYS(L10,$M$1,휴일!$A$2:$A$8),""),NETWORKDAYS(L10,M10,휴일!$A$2:$A$8)),"")</f>
        <v/>
      </c>
      <c r="S10" s="42">
        <f>IF(IFERROR(IF(O10&gt;=$M$1,IF(NETWORKDAYS(N10,$M$1,휴일!$A$2:$A$8)&gt;0,NETWORKDAYS(N10,$M$1,휴일!$A$2:$A$8),""),NETWORKDAYS(N10,O10,휴일!$A$2:$A$8)),"")&lt;0,"",IFERROR(IF(O10&gt;=$M$1,IF(NETWORKDAYS(N10,$M$1,휴일!$A$2:$A$8)&gt;0,NETWORKDAYS(N10,$M$1,휴일!$A$2:$A$8),""),NETWORKDAYS(N10,O10,휴일!$A$2:$A$8)),""))</f>
        <v>0</v>
      </c>
      <c r="T10" s="43">
        <f t="shared" si="2"/>
        <v>0</v>
      </c>
      <c r="U10" s="44">
        <f t="shared" si="3"/>
        <v>0</v>
      </c>
      <c r="V10" s="45">
        <f t="shared" si="4"/>
        <v>0</v>
      </c>
      <c r="W10" s="45">
        <f t="shared" si="1"/>
        <v>0</v>
      </c>
      <c r="X10" s="46"/>
      <c r="Y10" s="64"/>
      <c r="Z10" s="64"/>
      <c r="AA10" s="64"/>
      <c r="AB10" s="65"/>
      <c r="AC10" s="64"/>
      <c r="AD10" s="64"/>
      <c r="AE10" s="64"/>
      <c r="AF10" s="64"/>
      <c r="AG10" s="65"/>
      <c r="AH10" s="66"/>
      <c r="AI10" s="64"/>
      <c r="AJ10" s="64"/>
      <c r="AK10" s="64"/>
      <c r="AL10" s="65"/>
      <c r="AM10" s="64"/>
      <c r="AN10" s="64"/>
      <c r="AO10" s="64"/>
      <c r="AP10" s="64"/>
      <c r="AQ10" s="65"/>
      <c r="AR10" s="64"/>
      <c r="AS10" s="64"/>
      <c r="AT10" s="64"/>
      <c r="AU10" s="64"/>
      <c r="AV10" s="65"/>
      <c r="AW10" s="64"/>
      <c r="AX10" s="64"/>
      <c r="AY10" s="64"/>
      <c r="AZ10" s="64"/>
      <c r="BA10" s="65"/>
      <c r="BB10" s="64"/>
      <c r="BC10" s="64"/>
      <c r="BD10" s="64"/>
      <c r="BE10" s="64"/>
      <c r="BF10" s="65"/>
      <c r="BG10" s="64"/>
      <c r="BH10" s="64"/>
      <c r="BI10" s="64"/>
      <c r="BJ10" s="64"/>
      <c r="BK10" s="67"/>
      <c r="BL10" s="66"/>
      <c r="BM10" s="64"/>
      <c r="BN10" s="64"/>
      <c r="BO10" s="64"/>
      <c r="BP10" s="65"/>
      <c r="BQ10" s="64"/>
      <c r="BR10" s="64"/>
      <c r="BS10" s="64"/>
      <c r="BT10" s="64"/>
      <c r="BU10" s="65"/>
      <c r="BV10" s="64"/>
      <c r="BW10" s="64"/>
      <c r="BX10" s="64"/>
      <c r="BY10" s="64"/>
      <c r="BZ10" s="67"/>
      <c r="CA10" s="64"/>
      <c r="CB10" s="68"/>
      <c r="CC10" s="68"/>
      <c r="CD10" s="68"/>
      <c r="CE10" s="69"/>
      <c r="CF10" s="64"/>
      <c r="CG10" s="68"/>
      <c r="CH10" s="68"/>
      <c r="CI10" s="68"/>
      <c r="CJ10" s="69"/>
      <c r="CK10" s="64"/>
      <c r="CL10" s="68"/>
      <c r="CM10" s="68"/>
      <c r="CN10" s="68"/>
      <c r="CO10" s="69"/>
      <c r="CP10" s="64"/>
      <c r="CQ10" s="68"/>
      <c r="CR10" s="68"/>
      <c r="CS10" s="68"/>
      <c r="CT10" s="69"/>
      <c r="CU10" s="64"/>
      <c r="CV10" s="68"/>
      <c r="CW10" s="68"/>
      <c r="CX10" s="68"/>
      <c r="CY10" s="69"/>
      <c r="CZ10" s="64"/>
      <c r="DA10" s="68"/>
      <c r="DB10" s="70"/>
      <c r="DC10" s="68"/>
      <c r="DD10" s="69"/>
      <c r="DE10" s="64"/>
      <c r="DF10" s="68"/>
      <c r="DG10" s="68"/>
      <c r="DH10" s="68"/>
      <c r="DI10" s="69"/>
      <c r="DJ10" s="64"/>
      <c r="DK10" s="68"/>
      <c r="DL10" s="68"/>
      <c r="DM10" s="68"/>
      <c r="DN10" s="69"/>
      <c r="DO10" s="64"/>
      <c r="DP10" s="68"/>
      <c r="DQ10" s="68"/>
      <c r="DR10" s="68"/>
      <c r="DS10" s="69"/>
      <c r="DT10" s="66"/>
      <c r="DU10" s="68"/>
      <c r="DV10" s="68"/>
      <c r="DW10" s="68"/>
      <c r="DX10" s="69"/>
      <c r="DY10" s="64"/>
      <c r="DZ10" s="64"/>
      <c r="EA10" s="70"/>
      <c r="EB10" s="68"/>
      <c r="EC10" s="69"/>
      <c r="ED10" s="64"/>
      <c r="EE10" s="68"/>
      <c r="EF10" s="68"/>
      <c r="EG10" s="68"/>
      <c r="EH10" s="69"/>
      <c r="EI10" s="64"/>
      <c r="EJ10" s="68"/>
      <c r="EK10" s="68"/>
      <c r="EL10" s="68"/>
      <c r="EM10" s="69"/>
      <c r="EN10" s="64"/>
      <c r="EO10" s="68"/>
      <c r="EP10" s="68"/>
      <c r="EQ10" s="70"/>
      <c r="ER10" s="69"/>
      <c r="ES10" s="64"/>
      <c r="ET10" s="68"/>
      <c r="EU10" s="68"/>
      <c r="EV10" s="68"/>
      <c r="EW10" s="69"/>
      <c r="EX10" s="64"/>
      <c r="EY10" s="68"/>
      <c r="EZ10" s="68"/>
      <c r="FA10" s="68"/>
      <c r="FB10" s="69"/>
      <c r="FC10" s="64"/>
      <c r="FD10" s="64"/>
      <c r="FE10" s="68"/>
      <c r="FF10" s="68"/>
      <c r="FG10" s="68"/>
    </row>
    <row r="11" spans="1:163" ht="19.5" customHeight="1">
      <c r="A11" s="32"/>
      <c r="B11" s="71"/>
      <c r="C11" s="72"/>
      <c r="D11" s="73"/>
      <c r="E11" s="74"/>
      <c r="F11" s="166"/>
      <c r="G11" s="167"/>
      <c r="H11" s="75"/>
      <c r="I11" s="76"/>
      <c r="J11" s="76"/>
      <c r="K11" s="77"/>
      <c r="L11" s="77"/>
      <c r="M11" s="77"/>
      <c r="N11" s="77"/>
      <c r="O11" s="77"/>
      <c r="P11" s="76">
        <f>NETWORKDAYS(L11,M11,휴일!$A$2:$A$8)</f>
        <v>0</v>
      </c>
      <c r="Q11" s="78">
        <f>IF(NETWORKDAYS(N11,O11,휴일!$A$2:$A$8)&lt;0,"",NETWORKDAYS(N11,O11,휴일!$A$2:$A$8))</f>
        <v>0</v>
      </c>
      <c r="R11" s="79">
        <f>IFERROR(IF(M11&gt;=$M$1,IF(NETWORKDAYS(L11,$M$1,휴일!$A$2:$A$8)&gt;0,NETWORKDAYS(L11,$M$1,휴일!$A$2:$A$8),""),NETWORKDAYS(L11,M11,휴일!$A$2:$A$8)),"")</f>
        <v>0</v>
      </c>
      <c r="S11" s="80">
        <f>IF(IFERROR(IF(O11&gt;=$M$1,IF(NETWORKDAYS(N11,$M$1,휴일!$A$2:$A$8)&gt;0,NETWORKDAYS(N11,$M$1,휴일!$A$2:$A$8),""),NETWORKDAYS(N11,O11,휴일!$A$2:$A$8)),"")&lt;0,"",IFERROR(IF(O11&gt;=$M$1,IF(NETWORKDAYS(N11,$M$1,휴일!$A$2:$A$8)&gt;0,NETWORKDAYS(N11,$M$1,휴일!$A$2:$A$8),""),NETWORKDAYS(N11,O11,휴일!$A$2:$A$8)),""))</f>
        <v>0</v>
      </c>
      <c r="T11" s="43">
        <f t="shared" si="2"/>
        <v>0</v>
      </c>
      <c r="U11" s="44">
        <f t="shared" si="3"/>
        <v>0</v>
      </c>
      <c r="V11" s="45">
        <f t="shared" si="4"/>
        <v>0</v>
      </c>
      <c r="W11" s="45">
        <f t="shared" si="1"/>
        <v>0</v>
      </c>
      <c r="X11" s="81"/>
      <c r="Y11" s="82"/>
      <c r="Z11" s="82"/>
      <c r="AA11" s="82"/>
      <c r="AB11" s="83"/>
      <c r="AC11" s="82"/>
      <c r="AD11" s="82"/>
      <c r="AE11" s="82"/>
      <c r="AF11" s="82"/>
      <c r="AG11" s="83"/>
      <c r="AH11" s="84"/>
      <c r="AI11" s="82"/>
      <c r="AJ11" s="82"/>
      <c r="AK11" s="82"/>
      <c r="AL11" s="83"/>
      <c r="AM11" s="82"/>
      <c r="AN11" s="82"/>
      <c r="AO11" s="82"/>
      <c r="AP11" s="82"/>
      <c r="AQ11" s="83"/>
      <c r="AR11" s="82"/>
      <c r="AS11" s="82"/>
      <c r="AT11" s="82"/>
      <c r="AU11" s="82"/>
      <c r="AV11" s="83"/>
      <c r="AW11" s="82"/>
      <c r="AX11" s="82"/>
      <c r="AY11" s="82"/>
      <c r="AZ11" s="82"/>
      <c r="BA11" s="83"/>
      <c r="BB11" s="82"/>
      <c r="BC11" s="82"/>
      <c r="BD11" s="82"/>
      <c r="BE11" s="82"/>
      <c r="BF11" s="83"/>
      <c r="BG11" s="82"/>
      <c r="BH11" s="82"/>
      <c r="BI11" s="82"/>
      <c r="BJ11" s="82"/>
      <c r="BK11" s="85"/>
      <c r="BL11" s="84"/>
      <c r="BM11" s="82"/>
      <c r="BN11" s="82"/>
      <c r="BO11" s="82"/>
      <c r="BP11" s="83"/>
      <c r="BQ11" s="82"/>
      <c r="BR11" s="82"/>
      <c r="BS11" s="82"/>
      <c r="BT11" s="82"/>
      <c r="BU11" s="83"/>
      <c r="BV11" s="82"/>
      <c r="BW11" s="82"/>
      <c r="BX11" s="82"/>
      <c r="BY11" s="82"/>
      <c r="BZ11" s="85"/>
      <c r="CA11" s="82"/>
      <c r="CB11" s="82"/>
      <c r="CC11" s="82"/>
      <c r="CD11" s="82"/>
      <c r="CE11" s="83"/>
      <c r="CF11" s="82"/>
      <c r="CG11" s="82"/>
      <c r="CH11" s="82"/>
      <c r="CI11" s="82"/>
      <c r="CJ11" s="83"/>
      <c r="CK11" s="82"/>
      <c r="CL11" s="82"/>
      <c r="CM11" s="82"/>
      <c r="CN11" s="82"/>
      <c r="CO11" s="83"/>
      <c r="CP11" s="82"/>
      <c r="CQ11" s="82"/>
      <c r="CR11" s="82"/>
      <c r="CS11" s="82"/>
      <c r="CT11" s="83"/>
      <c r="CU11" s="82"/>
      <c r="CV11" s="82"/>
      <c r="CW11" s="82"/>
      <c r="CX11" s="82"/>
      <c r="CY11" s="83"/>
      <c r="CZ11" s="82"/>
      <c r="DA11" s="82"/>
      <c r="DB11" s="84"/>
      <c r="DC11" s="82"/>
      <c r="DD11" s="83"/>
      <c r="DE11" s="82"/>
      <c r="DF11" s="82"/>
      <c r="DG11" s="82"/>
      <c r="DH11" s="82"/>
      <c r="DI11" s="83"/>
      <c r="DJ11" s="82"/>
      <c r="DK11" s="82"/>
      <c r="DL11" s="82"/>
      <c r="DM11" s="82"/>
      <c r="DN11" s="83"/>
      <c r="DO11" s="82"/>
      <c r="DP11" s="82"/>
      <c r="DQ11" s="82"/>
      <c r="DR11" s="82"/>
      <c r="DS11" s="83"/>
      <c r="DT11" s="84"/>
      <c r="DU11" s="82"/>
      <c r="DV11" s="82"/>
      <c r="DW11" s="82"/>
      <c r="DX11" s="83"/>
      <c r="DY11" s="82"/>
      <c r="DZ11" s="82"/>
      <c r="EA11" s="84"/>
      <c r="EB11" s="82"/>
      <c r="EC11" s="83"/>
      <c r="ED11" s="82"/>
      <c r="EE11" s="82"/>
      <c r="EF11" s="82"/>
      <c r="EG11" s="82"/>
      <c r="EH11" s="83"/>
      <c r="EI11" s="82"/>
      <c r="EJ11" s="82"/>
      <c r="EK11" s="82"/>
      <c r="EL11" s="82"/>
      <c r="EM11" s="83"/>
      <c r="EN11" s="82"/>
      <c r="EO11" s="82"/>
      <c r="EP11" s="82"/>
      <c r="EQ11" s="84"/>
      <c r="ER11" s="83"/>
      <c r="ES11" s="82"/>
      <c r="ET11" s="82"/>
      <c r="EU11" s="82"/>
      <c r="EV11" s="82"/>
      <c r="EW11" s="83"/>
      <c r="EX11" s="82"/>
      <c r="EY11" s="82"/>
      <c r="EZ11" s="82"/>
      <c r="FA11" s="82"/>
      <c r="FB11" s="83"/>
      <c r="FC11" s="82"/>
      <c r="FD11" s="82"/>
      <c r="FE11" s="82"/>
      <c r="FF11" s="82"/>
      <c r="FG11" s="82"/>
    </row>
    <row r="12" spans="1:163" ht="19.5" customHeight="1">
      <c r="A12" s="32"/>
      <c r="B12" s="86">
        <v>2</v>
      </c>
      <c r="C12" s="87">
        <v>0.15</v>
      </c>
      <c r="D12" s="35" t="s">
        <v>47</v>
      </c>
      <c r="E12" s="36"/>
      <c r="F12" s="177" t="s">
        <v>48</v>
      </c>
      <c r="G12" s="178"/>
      <c r="H12" s="37" t="s">
        <v>35</v>
      </c>
      <c r="I12" s="38"/>
      <c r="J12" s="38"/>
      <c r="K12" s="88" t="s">
        <v>49</v>
      </c>
      <c r="L12" s="39">
        <v>46323</v>
      </c>
      <c r="M12" s="39">
        <v>46323</v>
      </c>
      <c r="N12" s="39"/>
      <c r="O12" s="39"/>
      <c r="P12" s="38">
        <f>NETWORKDAYS(L12,M12,휴일!$A$2:$A$8)</f>
        <v>1</v>
      </c>
      <c r="Q12" s="41">
        <f>IF(NETWORKDAYS(N12,O12,휴일!$A$2:$A$8)&lt;0,"",NETWORKDAYS(N12,O12,휴일!$A$2:$A$8))</f>
        <v>0</v>
      </c>
      <c r="R12" s="38" t="str">
        <f>IFERROR(IF(M12&gt;=$M$1,IF(NETWORKDAYS(L12,$M$1,휴일!$A$2:$A$8)&gt;0,NETWORKDAYS(L12,$M$1,휴일!$A$2:$A$8),""),NETWORKDAYS(L12,M12,휴일!$A$2:$A$8)),"")</f>
        <v/>
      </c>
      <c r="S12" s="42">
        <f>IF(IFERROR(IF(O12&gt;=$M$1,IF(NETWORKDAYS(N12,$M$1,휴일!$A$2:$A$8)&gt;0,NETWORKDAYS(N12,$M$1,휴일!$A$2:$A$8),""),NETWORKDAYS(N12,O12,휴일!$A$2:$A$8)),"")&lt;0,"",IFERROR(IF(O12&gt;=$M$1,IF(NETWORKDAYS(N12,$M$1,휴일!$A$2:$A$8)&gt;0,NETWORKDAYS(N12,$M$1,휴일!$A$2:$A$8),""),NETWORKDAYS(N12,O12,휴일!$A$2:$A$8)),""))</f>
        <v>0</v>
      </c>
      <c r="T12" s="43">
        <f t="shared" si="2"/>
        <v>0</v>
      </c>
      <c r="U12" s="44">
        <f t="shared" si="3"/>
        <v>0</v>
      </c>
      <c r="V12" s="45">
        <f t="shared" si="4"/>
        <v>0</v>
      </c>
      <c r="W12" s="45">
        <f t="shared" si="1"/>
        <v>0</v>
      </c>
      <c r="X12" s="46"/>
      <c r="Y12" s="46"/>
      <c r="Z12" s="46"/>
      <c r="AA12" s="46"/>
      <c r="AB12" s="56"/>
      <c r="AC12" s="46"/>
      <c r="AD12" s="46"/>
      <c r="AE12" s="46"/>
      <c r="AF12" s="46"/>
      <c r="AG12" s="56"/>
      <c r="AH12" s="49"/>
      <c r="AI12" s="46"/>
      <c r="AJ12" s="46"/>
      <c r="AK12" s="46"/>
      <c r="AL12" s="56"/>
      <c r="AM12" s="46"/>
      <c r="AN12" s="46"/>
      <c r="AO12" s="46"/>
      <c r="AP12" s="46"/>
      <c r="AQ12" s="56"/>
      <c r="AR12" s="46"/>
      <c r="AS12" s="46"/>
      <c r="AT12" s="46"/>
      <c r="AU12" s="46"/>
      <c r="AV12" s="56"/>
      <c r="AW12" s="46"/>
      <c r="AX12" s="46"/>
      <c r="AY12" s="46"/>
      <c r="AZ12" s="46"/>
      <c r="BA12" s="56"/>
      <c r="BB12" s="46"/>
      <c r="BC12" s="46"/>
      <c r="BD12" s="46"/>
      <c r="BE12" s="46"/>
      <c r="BF12" s="56"/>
      <c r="BG12" s="46"/>
      <c r="BH12" s="46"/>
      <c r="BI12" s="46"/>
      <c r="BJ12" s="46"/>
      <c r="BK12" s="57"/>
      <c r="BL12" s="49"/>
      <c r="BM12" s="46"/>
      <c r="BN12" s="46"/>
      <c r="BO12" s="46"/>
      <c r="BP12" s="56"/>
      <c r="BQ12" s="46"/>
      <c r="BR12" s="46"/>
      <c r="BS12" s="46"/>
      <c r="BT12" s="46"/>
      <c r="BU12" s="56"/>
      <c r="BV12" s="46"/>
      <c r="BW12" s="46"/>
      <c r="BX12" s="46"/>
      <c r="BY12" s="46"/>
      <c r="BZ12" s="57"/>
      <c r="CA12" s="46"/>
      <c r="CB12" s="46"/>
      <c r="CC12" s="46"/>
      <c r="CD12" s="46"/>
      <c r="CE12" s="56"/>
      <c r="CF12" s="46"/>
      <c r="CG12" s="46"/>
      <c r="CH12" s="46"/>
      <c r="CI12" s="46"/>
      <c r="CJ12" s="56"/>
      <c r="CK12" s="46"/>
      <c r="CL12" s="46"/>
      <c r="CM12" s="46"/>
      <c r="CN12" s="46"/>
      <c r="CO12" s="56"/>
      <c r="CP12" s="46"/>
      <c r="CQ12" s="46"/>
      <c r="CR12" s="46"/>
      <c r="CS12" s="46"/>
      <c r="CT12" s="56"/>
      <c r="CU12" s="46"/>
      <c r="CV12" s="46"/>
      <c r="CW12" s="46"/>
      <c r="CX12" s="46"/>
      <c r="CY12" s="56"/>
      <c r="CZ12" s="46"/>
      <c r="DA12" s="46"/>
      <c r="DB12" s="49"/>
      <c r="DC12" s="46"/>
      <c r="DD12" s="56"/>
      <c r="DE12" s="46"/>
      <c r="DF12" s="46"/>
      <c r="DG12" s="46"/>
      <c r="DH12" s="46"/>
      <c r="DI12" s="56"/>
      <c r="DJ12" s="46"/>
      <c r="DK12" s="46"/>
      <c r="DL12" s="46"/>
      <c r="DM12" s="46"/>
      <c r="DN12" s="56"/>
      <c r="DO12" s="46"/>
      <c r="DP12" s="46"/>
      <c r="DQ12" s="46"/>
      <c r="DR12" s="46"/>
      <c r="DS12" s="56"/>
      <c r="DT12" s="49"/>
      <c r="DU12" s="46"/>
      <c r="DV12" s="46"/>
      <c r="DW12" s="46"/>
      <c r="DX12" s="56"/>
      <c r="DY12" s="46"/>
      <c r="DZ12" s="46"/>
      <c r="EA12" s="49"/>
      <c r="EB12" s="46"/>
      <c r="EC12" s="56"/>
      <c r="ED12" s="46"/>
      <c r="EE12" s="46"/>
      <c r="EF12" s="46"/>
      <c r="EG12" s="46"/>
      <c r="EH12" s="56"/>
      <c r="EI12" s="46"/>
      <c r="EJ12" s="46"/>
      <c r="EK12" s="46"/>
      <c r="EL12" s="46"/>
      <c r="EM12" s="56"/>
      <c r="EN12" s="46"/>
      <c r="EO12" s="46"/>
      <c r="EP12" s="46"/>
      <c r="EQ12" s="49"/>
      <c r="ER12" s="56"/>
      <c r="ES12" s="46"/>
      <c r="ET12" s="46"/>
      <c r="EU12" s="46"/>
      <c r="EV12" s="46"/>
      <c r="EW12" s="56"/>
      <c r="EX12" s="46"/>
      <c r="EY12" s="46"/>
      <c r="EZ12" s="46"/>
      <c r="FA12" s="46"/>
      <c r="FB12" s="56"/>
      <c r="FC12" s="46"/>
      <c r="FD12" s="46"/>
      <c r="FE12" s="46"/>
      <c r="FF12" s="46"/>
      <c r="FG12" s="46"/>
    </row>
    <row r="13" spans="1:163" ht="19.5" customHeight="1">
      <c r="A13" s="32"/>
      <c r="B13" s="62"/>
      <c r="C13" s="89"/>
      <c r="D13" s="35"/>
      <c r="E13" s="36"/>
      <c r="F13" s="186" t="s">
        <v>50</v>
      </c>
      <c r="G13" s="176"/>
      <c r="H13" s="90" t="s">
        <v>35</v>
      </c>
      <c r="I13" s="40"/>
      <c r="J13" s="40"/>
      <c r="K13" s="40" t="s">
        <v>51</v>
      </c>
      <c r="L13" s="39">
        <v>46323</v>
      </c>
      <c r="M13" s="39">
        <v>46323</v>
      </c>
      <c r="N13" s="39"/>
      <c r="O13" s="39"/>
      <c r="P13" s="38">
        <f>NETWORKDAYS(L13,M13,휴일!$A$2:$A$8)</f>
        <v>1</v>
      </c>
      <c r="Q13" s="41">
        <f>IF(NETWORKDAYS(N13,O13,휴일!$A$2:$A$8)&lt;0,"",NETWORKDAYS(N13,O13,휴일!$A$2:$A$8))</f>
        <v>0</v>
      </c>
      <c r="R13" s="38" t="str">
        <f>IFERROR(IF(M13&gt;=$M$1,IF(NETWORKDAYS(L13,$M$1,휴일!$A$2:$A$8)&gt;0,NETWORKDAYS(L13,$M$1,휴일!$A$2:$A$8),""),NETWORKDAYS(L13,M13,휴일!$A$2:$A$8)),"")</f>
        <v/>
      </c>
      <c r="S13" s="42">
        <f>IF(IFERROR(IF(O13&gt;=$M$1,IF(NETWORKDAYS(N13,$M$1,휴일!$A$2:$A$8)&gt;0,NETWORKDAYS(N13,$M$1,휴일!$A$2:$A$8),""),NETWORKDAYS(N13,O13,휴일!$A$2:$A$8)),"")&lt;0,"",IFERROR(IF(O13&gt;=$M$1,IF(NETWORKDAYS(N13,$M$1,휴일!$A$2:$A$8)&gt;0,NETWORKDAYS(N13,$M$1,휴일!$A$2:$A$8),""),NETWORKDAYS(N13,O13,휴일!$A$2:$A$8)),""))</f>
        <v>0</v>
      </c>
      <c r="T13" s="43">
        <f t="shared" si="2"/>
        <v>0</v>
      </c>
      <c r="U13" s="44">
        <f t="shared" si="3"/>
        <v>0</v>
      </c>
      <c r="V13" s="45">
        <f t="shared" si="4"/>
        <v>0</v>
      </c>
      <c r="W13" s="45">
        <f t="shared" si="1"/>
        <v>0</v>
      </c>
      <c r="X13" s="46"/>
      <c r="Y13" s="64"/>
      <c r="Z13" s="64"/>
      <c r="AA13" s="64"/>
      <c r="AB13" s="65"/>
      <c r="AC13" s="64"/>
      <c r="AD13" s="64"/>
      <c r="AE13" s="64"/>
      <c r="AF13" s="64"/>
      <c r="AG13" s="65"/>
      <c r="AH13" s="66"/>
      <c r="AI13" s="64"/>
      <c r="AJ13" s="64"/>
      <c r="AK13" s="64"/>
      <c r="AL13" s="65"/>
      <c r="AM13" s="64"/>
      <c r="AN13" s="64"/>
      <c r="AO13" s="64"/>
      <c r="AP13" s="64"/>
      <c r="AQ13" s="65"/>
      <c r="AR13" s="64"/>
      <c r="AS13" s="64"/>
      <c r="AT13" s="64"/>
      <c r="AU13" s="64"/>
      <c r="AV13" s="65"/>
      <c r="AW13" s="64"/>
      <c r="AX13" s="64"/>
      <c r="AY13" s="64"/>
      <c r="AZ13" s="64"/>
      <c r="BA13" s="65"/>
      <c r="BB13" s="64"/>
      <c r="BC13" s="64"/>
      <c r="BD13" s="64"/>
      <c r="BE13" s="64"/>
      <c r="BF13" s="65"/>
      <c r="BG13" s="64"/>
      <c r="BH13" s="64"/>
      <c r="BI13" s="64"/>
      <c r="BJ13" s="64"/>
      <c r="BK13" s="67"/>
      <c r="BL13" s="66"/>
      <c r="BM13" s="64"/>
      <c r="BN13" s="64"/>
      <c r="BO13" s="64"/>
      <c r="BP13" s="65"/>
      <c r="BQ13" s="64"/>
      <c r="BR13" s="64"/>
      <c r="BS13" s="64"/>
      <c r="BT13" s="64"/>
      <c r="BU13" s="65"/>
      <c r="BV13" s="64"/>
      <c r="BW13" s="64"/>
      <c r="BX13" s="64"/>
      <c r="BY13" s="64"/>
      <c r="BZ13" s="67"/>
      <c r="CA13" s="64"/>
      <c r="CB13" s="64"/>
      <c r="CC13" s="64"/>
      <c r="CD13" s="64"/>
      <c r="CE13" s="65"/>
      <c r="CF13" s="64"/>
      <c r="CG13" s="64"/>
      <c r="CH13" s="64"/>
      <c r="CI13" s="64"/>
      <c r="CJ13" s="65"/>
      <c r="CK13" s="64"/>
      <c r="CL13" s="64"/>
      <c r="CM13" s="64"/>
      <c r="CN13" s="64"/>
      <c r="CO13" s="65"/>
      <c r="CP13" s="64"/>
      <c r="CQ13" s="64"/>
      <c r="CR13" s="64"/>
      <c r="CS13" s="64"/>
      <c r="CT13" s="65"/>
      <c r="CU13" s="64"/>
      <c r="CV13" s="64"/>
      <c r="CW13" s="64"/>
      <c r="CX13" s="64"/>
      <c r="CY13" s="65"/>
      <c r="CZ13" s="64"/>
      <c r="DA13" s="64"/>
      <c r="DB13" s="66"/>
      <c r="DC13" s="64"/>
      <c r="DD13" s="65"/>
      <c r="DE13" s="64"/>
      <c r="DF13" s="64"/>
      <c r="DG13" s="64"/>
      <c r="DH13" s="64"/>
      <c r="DI13" s="65"/>
      <c r="DJ13" s="64"/>
      <c r="DK13" s="64"/>
      <c r="DL13" s="64"/>
      <c r="DM13" s="64"/>
      <c r="DN13" s="65"/>
      <c r="DO13" s="64"/>
      <c r="DP13" s="64"/>
      <c r="DQ13" s="64"/>
      <c r="DR13" s="64"/>
      <c r="DS13" s="65"/>
      <c r="DT13" s="66"/>
      <c r="DU13" s="64"/>
      <c r="DV13" s="64"/>
      <c r="DW13" s="64"/>
      <c r="DX13" s="65"/>
      <c r="DY13" s="64"/>
      <c r="DZ13" s="64"/>
      <c r="EA13" s="66"/>
      <c r="EB13" s="64"/>
      <c r="EC13" s="65"/>
      <c r="ED13" s="64"/>
      <c r="EE13" s="64"/>
      <c r="EF13" s="64"/>
      <c r="EG13" s="64"/>
      <c r="EH13" s="65"/>
      <c r="EI13" s="64"/>
      <c r="EJ13" s="64"/>
      <c r="EK13" s="64"/>
      <c r="EL13" s="64"/>
      <c r="EM13" s="65"/>
      <c r="EN13" s="64"/>
      <c r="EO13" s="64"/>
      <c r="EP13" s="64"/>
      <c r="EQ13" s="66"/>
      <c r="ER13" s="65"/>
      <c r="ES13" s="64"/>
      <c r="ET13" s="64"/>
      <c r="EU13" s="64"/>
      <c r="EV13" s="64"/>
      <c r="EW13" s="65"/>
      <c r="EX13" s="64"/>
      <c r="EY13" s="64"/>
      <c r="EZ13" s="64"/>
      <c r="FA13" s="64"/>
      <c r="FB13" s="65"/>
      <c r="FC13" s="64"/>
      <c r="FD13" s="64"/>
      <c r="FE13" s="64"/>
      <c r="FF13" s="64"/>
      <c r="FG13" s="64"/>
    </row>
    <row r="14" spans="1:163" ht="19.5" customHeight="1">
      <c r="A14" s="32"/>
      <c r="B14" s="62"/>
      <c r="C14" s="89"/>
      <c r="D14" s="35"/>
      <c r="E14" s="36"/>
      <c r="F14" s="186" t="s">
        <v>52</v>
      </c>
      <c r="G14" s="176"/>
      <c r="H14" s="90" t="s">
        <v>36</v>
      </c>
      <c r="I14" s="91"/>
      <c r="J14" s="91"/>
      <c r="K14" s="91" t="s">
        <v>53</v>
      </c>
      <c r="L14" s="39">
        <v>46323</v>
      </c>
      <c r="M14" s="39">
        <v>46323</v>
      </c>
      <c r="N14" s="39"/>
      <c r="O14" s="39"/>
      <c r="P14" s="38">
        <f>NETWORKDAYS(L14,M14,휴일!$A$2:$A$8)</f>
        <v>1</v>
      </c>
      <c r="Q14" s="41">
        <f>IF(NETWORKDAYS(N14,O14,휴일!$A$2:$A$8)&lt;0,"",NETWORKDAYS(N14,O14,휴일!$A$2:$A$8))</f>
        <v>0</v>
      </c>
      <c r="R14" s="40" t="str">
        <f>IFERROR(IF(M14&gt;=$M$1,IF(NETWORKDAYS(L14,$M$1,휴일!$A$2:$A$8)&gt;0,NETWORKDAYS(L14,$M$1,휴일!$A$2:$A$8),""),NETWORKDAYS(L14,M14,휴일!$A$2:$A$8)),"")</f>
        <v/>
      </c>
      <c r="S14" s="42">
        <f>IF(IFERROR(IF(O14&gt;=$M$1,IF(NETWORKDAYS(N14,$M$1,휴일!$A$2:$A$8)&gt;0,NETWORKDAYS(N14,$M$1,휴일!$A$2:$A$8),""),NETWORKDAYS(N14,O14,휴일!$A$2:$A$8)),"")&lt;0,"",IFERROR(IF(O14&gt;=$M$1,IF(NETWORKDAYS(N14,$M$1,휴일!$A$2:$A$8)&gt;0,NETWORKDAYS(N14,$M$1,휴일!$A$2:$A$8),""),NETWORKDAYS(N14,O14,휴일!$A$2:$A$8)),""))</f>
        <v>0</v>
      </c>
      <c r="T14" s="43">
        <f t="shared" si="2"/>
        <v>0</v>
      </c>
      <c r="U14" s="44">
        <f t="shared" si="3"/>
        <v>0</v>
      </c>
      <c r="V14" s="45">
        <f t="shared" si="4"/>
        <v>0</v>
      </c>
      <c r="W14" s="45">
        <f t="shared" si="1"/>
        <v>0</v>
      </c>
      <c r="X14" s="46"/>
      <c r="Y14" s="64"/>
      <c r="Z14" s="64"/>
      <c r="AA14" s="64"/>
      <c r="AB14" s="65"/>
      <c r="AC14" s="64"/>
      <c r="AD14" s="64"/>
      <c r="AE14" s="64"/>
      <c r="AF14" s="64"/>
      <c r="AG14" s="65"/>
      <c r="AH14" s="66"/>
      <c r="AI14" s="64"/>
      <c r="AJ14" s="64"/>
      <c r="AK14" s="64"/>
      <c r="AL14" s="65"/>
      <c r="AM14" s="64"/>
      <c r="AN14" s="64"/>
      <c r="AO14" s="64"/>
      <c r="AP14" s="64"/>
      <c r="AQ14" s="65"/>
      <c r="AR14" s="64"/>
      <c r="AS14" s="64"/>
      <c r="AT14" s="64"/>
      <c r="AU14" s="64"/>
      <c r="AV14" s="65"/>
      <c r="AW14" s="64"/>
      <c r="AX14" s="64"/>
      <c r="AY14" s="64"/>
      <c r="AZ14" s="64"/>
      <c r="BA14" s="65"/>
      <c r="BB14" s="64"/>
      <c r="BC14" s="64"/>
      <c r="BD14" s="64"/>
      <c r="BE14" s="64"/>
      <c r="BF14" s="65"/>
      <c r="BG14" s="64"/>
      <c r="BH14" s="64"/>
      <c r="BI14" s="64"/>
      <c r="BJ14" s="64"/>
      <c r="BK14" s="67"/>
      <c r="BL14" s="66"/>
      <c r="BM14" s="64"/>
      <c r="BN14" s="64"/>
      <c r="BO14" s="64"/>
      <c r="BP14" s="65"/>
      <c r="BQ14" s="64"/>
      <c r="BR14" s="64"/>
      <c r="BS14" s="64"/>
      <c r="BT14" s="64"/>
      <c r="BU14" s="65"/>
      <c r="BV14" s="64"/>
      <c r="BW14" s="64"/>
      <c r="BX14" s="64"/>
      <c r="BY14" s="64"/>
      <c r="BZ14" s="67"/>
      <c r="CA14" s="64"/>
      <c r="CB14" s="64"/>
      <c r="CC14" s="64"/>
      <c r="CD14" s="64"/>
      <c r="CE14" s="65"/>
      <c r="CF14" s="64"/>
      <c r="CG14" s="64"/>
      <c r="CH14" s="64"/>
      <c r="CI14" s="64"/>
      <c r="CJ14" s="65"/>
      <c r="CK14" s="64"/>
      <c r="CL14" s="64"/>
      <c r="CM14" s="64"/>
      <c r="CN14" s="64"/>
      <c r="CO14" s="65"/>
      <c r="CP14" s="64"/>
      <c r="CQ14" s="64"/>
      <c r="CR14" s="64"/>
      <c r="CS14" s="64"/>
      <c r="CT14" s="65"/>
      <c r="CU14" s="64"/>
      <c r="CV14" s="64"/>
      <c r="CW14" s="64"/>
      <c r="CX14" s="64"/>
      <c r="CY14" s="65"/>
      <c r="CZ14" s="64"/>
      <c r="DA14" s="64"/>
      <c r="DB14" s="66"/>
      <c r="DC14" s="64"/>
      <c r="DD14" s="65"/>
      <c r="DE14" s="64"/>
      <c r="DF14" s="64"/>
      <c r="DG14" s="64"/>
      <c r="DH14" s="64"/>
      <c r="DI14" s="65"/>
      <c r="DJ14" s="64"/>
      <c r="DK14" s="64"/>
      <c r="DL14" s="64"/>
      <c r="DM14" s="64"/>
      <c r="DN14" s="65"/>
      <c r="DO14" s="64"/>
      <c r="DP14" s="64"/>
      <c r="DQ14" s="64"/>
      <c r="DR14" s="64"/>
      <c r="DS14" s="65"/>
      <c r="DT14" s="66"/>
      <c r="DU14" s="64"/>
      <c r="DV14" s="64"/>
      <c r="DW14" s="64"/>
      <c r="DX14" s="65"/>
      <c r="DY14" s="64"/>
      <c r="DZ14" s="64"/>
      <c r="EA14" s="66"/>
      <c r="EB14" s="64"/>
      <c r="EC14" s="65"/>
      <c r="ED14" s="64"/>
      <c r="EE14" s="64"/>
      <c r="EF14" s="64"/>
      <c r="EG14" s="64"/>
      <c r="EH14" s="65"/>
      <c r="EI14" s="64"/>
      <c r="EJ14" s="64"/>
      <c r="EK14" s="64"/>
      <c r="EL14" s="64"/>
      <c r="EM14" s="65"/>
      <c r="EN14" s="64"/>
      <c r="EO14" s="64"/>
      <c r="EP14" s="64"/>
      <c r="EQ14" s="66"/>
      <c r="ER14" s="65"/>
      <c r="ES14" s="64"/>
      <c r="ET14" s="64"/>
      <c r="EU14" s="64"/>
      <c r="EV14" s="64"/>
      <c r="EW14" s="65"/>
      <c r="EX14" s="64"/>
      <c r="EY14" s="64"/>
      <c r="EZ14" s="64"/>
      <c r="FA14" s="64"/>
      <c r="FB14" s="65"/>
      <c r="FC14" s="64"/>
      <c r="FD14" s="64"/>
      <c r="FE14" s="64"/>
      <c r="FF14" s="64"/>
      <c r="FG14" s="64"/>
    </row>
    <row r="15" spans="1:163" ht="19.5" customHeight="1">
      <c r="A15" s="32"/>
      <c r="B15" s="62"/>
      <c r="C15" s="89"/>
      <c r="D15" s="35"/>
      <c r="E15" s="36"/>
      <c r="F15" s="195" t="s">
        <v>54</v>
      </c>
      <c r="G15" s="176"/>
      <c r="H15" s="90" t="s">
        <v>43</v>
      </c>
      <c r="I15" s="91"/>
      <c r="J15" s="91"/>
      <c r="K15" s="91" t="s">
        <v>55</v>
      </c>
      <c r="L15" s="39">
        <v>46323</v>
      </c>
      <c r="M15" s="63">
        <v>46323</v>
      </c>
      <c r="N15" s="63"/>
      <c r="O15" s="63"/>
      <c r="P15" s="38">
        <f>NETWORKDAYS(L15,M15,휴일!$A$2:$A$8)</f>
        <v>1</v>
      </c>
      <c r="Q15" s="41">
        <f>IF(NETWORKDAYS(N15,O15,휴일!$A$2:$A$8)&lt;0,"",NETWORKDAYS(N15,O15,휴일!$A$2:$A$8))</f>
        <v>0</v>
      </c>
      <c r="R15" s="40" t="str">
        <f>IFERROR(IF(M15&gt;=$M$1,IF(NETWORKDAYS(L15,$M$1,휴일!$A$2:$A$8)&gt;0,NETWORKDAYS(L15,$M$1,휴일!$A$2:$A$8),""),NETWORKDAYS(L15,M15,휴일!$A$2:$A$8)),"")</f>
        <v/>
      </c>
      <c r="S15" s="42">
        <f>IF(IFERROR(IF(O15&gt;=$M$1,IF(NETWORKDAYS(N15,$M$1,휴일!$A$2:$A$8)&gt;0,NETWORKDAYS(N15,$M$1,휴일!$A$2:$A$8),""),NETWORKDAYS(N15,O15,휴일!$A$2:$A$8)),"")&lt;0,"",IFERROR(IF(O15&gt;=$M$1,IF(NETWORKDAYS(N15,$M$1,휴일!$A$2:$A$8)&gt;0,NETWORKDAYS(N15,$M$1,휴일!$A$2:$A$8),""),NETWORKDAYS(N15,O15,휴일!$A$2:$A$8)),""))</f>
        <v>0</v>
      </c>
      <c r="T15" s="43">
        <f t="shared" si="2"/>
        <v>0</v>
      </c>
      <c r="U15" s="44">
        <f t="shared" si="3"/>
        <v>0</v>
      </c>
      <c r="V15" s="45">
        <f t="shared" si="4"/>
        <v>0</v>
      </c>
      <c r="W15" s="45">
        <f t="shared" si="1"/>
        <v>0</v>
      </c>
      <c r="X15" s="46"/>
      <c r="Y15" s="64"/>
      <c r="Z15" s="64"/>
      <c r="AA15" s="64"/>
      <c r="AB15" s="65"/>
      <c r="AC15" s="64"/>
      <c r="AD15" s="64"/>
      <c r="AE15" s="64"/>
      <c r="AF15" s="64"/>
      <c r="AG15" s="65"/>
      <c r="AH15" s="66"/>
      <c r="AI15" s="64"/>
      <c r="AJ15" s="64"/>
      <c r="AK15" s="64"/>
      <c r="AL15" s="65"/>
      <c r="AM15" s="64"/>
      <c r="AN15" s="64"/>
      <c r="AO15" s="64"/>
      <c r="AP15" s="64"/>
      <c r="AQ15" s="65"/>
      <c r="AR15" s="64"/>
      <c r="AS15" s="64"/>
      <c r="AT15" s="64"/>
      <c r="AU15" s="64"/>
      <c r="AV15" s="65"/>
      <c r="AW15" s="64"/>
      <c r="AX15" s="64"/>
      <c r="AY15" s="64"/>
      <c r="AZ15" s="64"/>
      <c r="BA15" s="65"/>
      <c r="BB15" s="64"/>
      <c r="BC15" s="64"/>
      <c r="BD15" s="64"/>
      <c r="BE15" s="64"/>
      <c r="BF15" s="65"/>
      <c r="BG15" s="64"/>
      <c r="BH15" s="64"/>
      <c r="BI15" s="64"/>
      <c r="BJ15" s="64"/>
      <c r="BK15" s="67"/>
      <c r="BL15" s="66"/>
      <c r="BM15" s="64"/>
      <c r="BN15" s="64"/>
      <c r="BO15" s="64"/>
      <c r="BP15" s="65"/>
      <c r="BQ15" s="64"/>
      <c r="BR15" s="64"/>
      <c r="BS15" s="64"/>
      <c r="BT15" s="64"/>
      <c r="BU15" s="65"/>
      <c r="BV15" s="64"/>
      <c r="BW15" s="64"/>
      <c r="BX15" s="64"/>
      <c r="BY15" s="64"/>
      <c r="BZ15" s="67"/>
      <c r="CA15" s="64"/>
      <c r="CB15" s="64"/>
      <c r="CC15" s="64"/>
      <c r="CD15" s="64"/>
      <c r="CE15" s="65"/>
      <c r="CF15" s="64"/>
      <c r="CG15" s="64"/>
      <c r="CH15" s="64"/>
      <c r="CI15" s="64"/>
      <c r="CJ15" s="65"/>
      <c r="CK15" s="64"/>
      <c r="CL15" s="64"/>
      <c r="CM15" s="64"/>
      <c r="CN15" s="64"/>
      <c r="CO15" s="65"/>
      <c r="CP15" s="64"/>
      <c r="CQ15" s="64"/>
      <c r="CR15" s="64"/>
      <c r="CS15" s="64"/>
      <c r="CT15" s="65"/>
      <c r="CU15" s="64"/>
      <c r="CV15" s="64"/>
      <c r="CW15" s="64"/>
      <c r="CX15" s="64"/>
      <c r="CY15" s="65"/>
      <c r="CZ15" s="64"/>
      <c r="DA15" s="64"/>
      <c r="DB15" s="66"/>
      <c r="DC15" s="64"/>
      <c r="DD15" s="65"/>
      <c r="DE15" s="64"/>
      <c r="DF15" s="64"/>
      <c r="DG15" s="64"/>
      <c r="DH15" s="64"/>
      <c r="DI15" s="65"/>
      <c r="DJ15" s="64"/>
      <c r="DK15" s="64"/>
      <c r="DL15" s="64"/>
      <c r="DM15" s="64"/>
      <c r="DN15" s="65"/>
      <c r="DO15" s="64"/>
      <c r="DP15" s="64"/>
      <c r="DQ15" s="64"/>
      <c r="DR15" s="64"/>
      <c r="DS15" s="65"/>
      <c r="DT15" s="66"/>
      <c r="DU15" s="64"/>
      <c r="DV15" s="64"/>
      <c r="DW15" s="64"/>
      <c r="DX15" s="65"/>
      <c r="DY15" s="64"/>
      <c r="DZ15" s="64"/>
      <c r="EA15" s="66"/>
      <c r="EB15" s="64"/>
      <c r="EC15" s="65"/>
      <c r="ED15" s="64"/>
      <c r="EE15" s="64"/>
      <c r="EF15" s="64"/>
      <c r="EG15" s="64"/>
      <c r="EH15" s="65"/>
      <c r="EI15" s="64"/>
      <c r="EJ15" s="64"/>
      <c r="EK15" s="64"/>
      <c r="EL15" s="64"/>
      <c r="EM15" s="65"/>
      <c r="EN15" s="64"/>
      <c r="EO15" s="64"/>
      <c r="EP15" s="64"/>
      <c r="EQ15" s="66"/>
      <c r="ER15" s="65"/>
      <c r="ES15" s="64"/>
      <c r="ET15" s="64"/>
      <c r="EU15" s="64"/>
      <c r="EV15" s="64"/>
      <c r="EW15" s="65"/>
      <c r="EX15" s="64"/>
      <c r="EY15" s="64"/>
      <c r="EZ15" s="64"/>
      <c r="FA15" s="64"/>
      <c r="FB15" s="65"/>
      <c r="FC15" s="64"/>
      <c r="FD15" s="64"/>
      <c r="FE15" s="64"/>
      <c r="FF15" s="64"/>
      <c r="FG15" s="64"/>
    </row>
    <row r="16" spans="1:163" ht="19.5" customHeight="1">
      <c r="A16" s="32"/>
      <c r="B16" s="92"/>
      <c r="C16" s="93"/>
      <c r="D16" s="73"/>
      <c r="E16" s="74"/>
      <c r="F16" s="191" t="s">
        <v>56</v>
      </c>
      <c r="G16" s="180"/>
      <c r="H16" s="94" t="s">
        <v>36</v>
      </c>
      <c r="I16" s="76"/>
      <c r="J16" s="76"/>
      <c r="K16" s="76" t="s">
        <v>57</v>
      </c>
      <c r="L16" s="77">
        <v>46324</v>
      </c>
      <c r="M16" s="77">
        <v>46324</v>
      </c>
      <c r="N16" s="77"/>
      <c r="O16" s="77"/>
      <c r="P16" s="79">
        <f>NETWORKDAYS(L16,M16,휴일!$A$2:$A$8)</f>
        <v>1</v>
      </c>
      <c r="Q16" s="78">
        <f>IF(NETWORKDAYS(N16,O16,휴일!$A$2:$A$8)&lt;0,"",NETWORKDAYS(N16,O16,휴일!$A$2:$A$8))</f>
        <v>0</v>
      </c>
      <c r="R16" s="76" t="str">
        <f>IFERROR(IF(M16&gt;=$M$1,IF(NETWORKDAYS(L16,$M$1,휴일!$A$2:$A$8)&gt;0,NETWORKDAYS(L16,$M$1,휴일!$A$2:$A$8),""),NETWORKDAYS(L16,M16,휴일!$A$2:$A$8)),"")</f>
        <v/>
      </c>
      <c r="S16" s="80">
        <f>IF(IFERROR(IF(O16&gt;=$M$1,IF(NETWORKDAYS(N16,$M$1,휴일!$A$2:$A$8)&gt;0,NETWORKDAYS(N16,$M$1,휴일!$A$2:$A$8),""),NETWORKDAYS(N16,O16,휴일!$A$2:$A$8)),"")&lt;0,"",IFERROR(IF(O16&gt;=$M$1,IF(NETWORKDAYS(N16,$M$1,휴일!$A$2:$A$8)&gt;0,NETWORKDAYS(N16,$M$1,휴일!$A$2:$A$8),""),NETWORKDAYS(N16,O16,휴일!$A$2:$A$8)),""))</f>
        <v>0</v>
      </c>
      <c r="T16" s="43">
        <f t="shared" si="2"/>
        <v>0</v>
      </c>
      <c r="U16" s="44">
        <f t="shared" si="3"/>
        <v>0</v>
      </c>
      <c r="V16" s="45">
        <f t="shared" si="4"/>
        <v>0</v>
      </c>
      <c r="W16" s="45">
        <f t="shared" si="1"/>
        <v>0</v>
      </c>
      <c r="X16" s="81"/>
      <c r="Y16" s="82"/>
      <c r="Z16" s="82"/>
      <c r="AA16" s="82"/>
      <c r="AB16" s="83"/>
      <c r="AC16" s="82"/>
      <c r="AD16" s="82"/>
      <c r="AE16" s="82"/>
      <c r="AF16" s="82"/>
      <c r="AG16" s="83"/>
      <c r="AH16" s="84"/>
      <c r="AI16" s="82"/>
      <c r="AJ16" s="82"/>
      <c r="AK16" s="82"/>
      <c r="AL16" s="83"/>
      <c r="AM16" s="82"/>
      <c r="AN16" s="82"/>
      <c r="AO16" s="82"/>
      <c r="AP16" s="82"/>
      <c r="AQ16" s="83"/>
      <c r="AR16" s="82"/>
      <c r="AS16" s="82"/>
      <c r="AT16" s="82"/>
      <c r="AU16" s="82"/>
      <c r="AV16" s="83"/>
      <c r="AW16" s="82"/>
      <c r="AX16" s="82"/>
      <c r="AY16" s="82"/>
      <c r="AZ16" s="82"/>
      <c r="BA16" s="83"/>
      <c r="BB16" s="82"/>
      <c r="BC16" s="82"/>
      <c r="BD16" s="82"/>
      <c r="BE16" s="82"/>
      <c r="BF16" s="83"/>
      <c r="BG16" s="82"/>
      <c r="BH16" s="82"/>
      <c r="BI16" s="82"/>
      <c r="BJ16" s="82"/>
      <c r="BK16" s="85"/>
      <c r="BL16" s="84"/>
      <c r="BM16" s="82"/>
      <c r="BN16" s="82"/>
      <c r="BO16" s="82"/>
      <c r="BP16" s="83"/>
      <c r="BQ16" s="82"/>
      <c r="BR16" s="82"/>
      <c r="BS16" s="82"/>
      <c r="BT16" s="82"/>
      <c r="BU16" s="83"/>
      <c r="BV16" s="82"/>
      <c r="BW16" s="82"/>
      <c r="BX16" s="82"/>
      <c r="BY16" s="82"/>
      <c r="BZ16" s="85"/>
      <c r="CA16" s="82"/>
      <c r="CB16" s="82"/>
      <c r="CC16" s="82"/>
      <c r="CD16" s="82"/>
      <c r="CE16" s="83"/>
      <c r="CF16" s="82"/>
      <c r="CG16" s="82"/>
      <c r="CH16" s="82"/>
      <c r="CI16" s="82"/>
      <c r="CJ16" s="83"/>
      <c r="CK16" s="82"/>
      <c r="CL16" s="82"/>
      <c r="CM16" s="82"/>
      <c r="CN16" s="82"/>
      <c r="CO16" s="83"/>
      <c r="CP16" s="82"/>
      <c r="CQ16" s="82"/>
      <c r="CR16" s="82"/>
      <c r="CS16" s="82"/>
      <c r="CT16" s="83"/>
      <c r="CU16" s="82"/>
      <c r="CV16" s="82"/>
      <c r="CW16" s="82"/>
      <c r="CX16" s="82"/>
      <c r="CY16" s="83"/>
      <c r="CZ16" s="82"/>
      <c r="DA16" s="82"/>
      <c r="DB16" s="84"/>
      <c r="DC16" s="82"/>
      <c r="DD16" s="83"/>
      <c r="DE16" s="82"/>
      <c r="DF16" s="82"/>
      <c r="DG16" s="82"/>
      <c r="DH16" s="82"/>
      <c r="DI16" s="83"/>
      <c r="DJ16" s="82"/>
      <c r="DK16" s="82"/>
      <c r="DL16" s="82"/>
      <c r="DM16" s="82"/>
      <c r="DN16" s="83"/>
      <c r="DO16" s="82"/>
      <c r="DP16" s="82"/>
      <c r="DQ16" s="82"/>
      <c r="DR16" s="82"/>
      <c r="DS16" s="83"/>
      <c r="DT16" s="84"/>
      <c r="DU16" s="82"/>
      <c r="DV16" s="82"/>
      <c r="DW16" s="82"/>
      <c r="DX16" s="83"/>
      <c r="DY16" s="82"/>
      <c r="DZ16" s="82"/>
      <c r="EA16" s="84"/>
      <c r="EB16" s="82"/>
      <c r="EC16" s="83"/>
      <c r="ED16" s="82"/>
      <c r="EE16" s="82"/>
      <c r="EF16" s="82"/>
      <c r="EG16" s="82"/>
      <c r="EH16" s="83"/>
      <c r="EI16" s="82"/>
      <c r="EJ16" s="82"/>
      <c r="EK16" s="82"/>
      <c r="EL16" s="82"/>
      <c r="EM16" s="83"/>
      <c r="EN16" s="82"/>
      <c r="EO16" s="82"/>
      <c r="EP16" s="82"/>
      <c r="EQ16" s="84"/>
      <c r="ER16" s="83"/>
      <c r="ES16" s="82"/>
      <c r="ET16" s="82"/>
      <c r="EU16" s="82"/>
      <c r="EV16" s="82"/>
      <c r="EW16" s="83"/>
      <c r="EX16" s="82"/>
      <c r="EY16" s="82"/>
      <c r="EZ16" s="82"/>
      <c r="FA16" s="82"/>
      <c r="FB16" s="83"/>
      <c r="FC16" s="82"/>
      <c r="FD16" s="82"/>
      <c r="FE16" s="82"/>
      <c r="FF16" s="82"/>
      <c r="FG16" s="82"/>
    </row>
    <row r="17" spans="1:163" ht="19.5" customHeight="1">
      <c r="A17" s="32"/>
      <c r="B17" s="62">
        <v>3</v>
      </c>
      <c r="C17" s="87">
        <v>0.4</v>
      </c>
      <c r="D17" s="95" t="s">
        <v>58</v>
      </c>
      <c r="E17" s="96"/>
      <c r="F17" s="177" t="s">
        <v>59</v>
      </c>
      <c r="G17" s="178"/>
      <c r="H17" s="37" t="s">
        <v>35</v>
      </c>
      <c r="I17" s="88"/>
      <c r="J17" s="88"/>
      <c r="K17" s="88" t="s">
        <v>60</v>
      </c>
      <c r="L17" s="39">
        <v>46323</v>
      </c>
      <c r="M17" s="39">
        <v>46323</v>
      </c>
      <c r="N17" s="39"/>
      <c r="O17" s="39"/>
      <c r="P17" s="38">
        <f>NETWORKDAYS(L17,M17,휴일!$A$2:$A$8)</f>
        <v>1</v>
      </c>
      <c r="Q17" s="41">
        <f>IF(NETWORKDAYS(N17,O17,휴일!$A$2:$A$8)&lt;0,"",NETWORKDAYS(N17,O17,휴일!$A$2:$A$8))</f>
        <v>0</v>
      </c>
      <c r="R17" s="38" t="str">
        <f>IFERROR(IF(M17&gt;=$M$1,IF(NETWORKDAYS(L17,$M$1,휴일!$A$2:$A$8)&gt;0,NETWORKDAYS(L17,$M$1,휴일!$A$2:$A$8),""),NETWORKDAYS(L17,M17,휴일!$A$2:$A$8)),"")</f>
        <v/>
      </c>
      <c r="S17" s="42">
        <f>IF(IFERROR(IF(O17&gt;=$M$1,IF(NETWORKDAYS(N17,$M$1,휴일!$A$2:$A$8)&gt;0,NETWORKDAYS(N17,$M$1,휴일!$A$2:$A$8),""),NETWORKDAYS(N17,O17,휴일!$A$2:$A$8)),"")&lt;0,"",IFERROR(IF(O17&gt;=$M$1,IF(NETWORKDAYS(N17,$M$1,휴일!$A$2:$A$8)&gt;0,NETWORKDAYS(N17,$M$1,휴일!$A$2:$A$8),""),NETWORKDAYS(N17,O17,휴일!$A$2:$A$8)),""))</f>
        <v>0</v>
      </c>
      <c r="T17" s="43">
        <f t="shared" si="2"/>
        <v>0</v>
      </c>
      <c r="U17" s="44">
        <f t="shared" si="3"/>
        <v>0</v>
      </c>
      <c r="V17" s="45">
        <f t="shared" si="4"/>
        <v>0</v>
      </c>
      <c r="W17" s="45">
        <f t="shared" si="1"/>
        <v>0</v>
      </c>
      <c r="X17" s="46"/>
      <c r="Y17" s="46"/>
      <c r="Z17" s="46"/>
      <c r="AA17" s="46"/>
      <c r="AB17" s="56"/>
      <c r="AC17" s="46"/>
      <c r="AD17" s="46"/>
      <c r="AE17" s="46"/>
      <c r="AF17" s="46"/>
      <c r="AG17" s="56"/>
      <c r="AH17" s="49"/>
      <c r="AI17" s="46"/>
      <c r="AJ17" s="46"/>
      <c r="AK17" s="46"/>
      <c r="AL17" s="56"/>
      <c r="AM17" s="46"/>
      <c r="AN17" s="46"/>
      <c r="AO17" s="46"/>
      <c r="AP17" s="46"/>
      <c r="AQ17" s="56"/>
      <c r="AR17" s="46"/>
      <c r="AS17" s="46"/>
      <c r="AT17" s="46"/>
      <c r="AU17" s="46"/>
      <c r="AV17" s="56"/>
      <c r="AW17" s="46"/>
      <c r="AX17" s="46"/>
      <c r="AY17" s="46"/>
      <c r="AZ17" s="46"/>
      <c r="BA17" s="56"/>
      <c r="BB17" s="46"/>
      <c r="BC17" s="46"/>
      <c r="BD17" s="46"/>
      <c r="BE17" s="46"/>
      <c r="BF17" s="56"/>
      <c r="BG17" s="46"/>
      <c r="BH17" s="46"/>
      <c r="BI17" s="46"/>
      <c r="BJ17" s="46"/>
      <c r="BK17" s="57"/>
      <c r="BL17" s="49"/>
      <c r="BM17" s="46"/>
      <c r="BN17" s="46"/>
      <c r="BO17" s="46"/>
      <c r="BP17" s="56"/>
      <c r="BQ17" s="46"/>
      <c r="BR17" s="46"/>
      <c r="BS17" s="46"/>
      <c r="BT17" s="46"/>
      <c r="BU17" s="56"/>
      <c r="BV17" s="46"/>
      <c r="BW17" s="46"/>
      <c r="BX17" s="46"/>
      <c r="BY17" s="46"/>
      <c r="BZ17" s="57"/>
      <c r="CA17" s="46"/>
      <c r="CB17" s="46"/>
      <c r="CC17" s="46"/>
      <c r="CD17" s="46"/>
      <c r="CE17" s="56"/>
      <c r="CF17" s="46"/>
      <c r="CG17" s="46"/>
      <c r="CH17" s="46"/>
      <c r="CI17" s="46"/>
      <c r="CJ17" s="56"/>
      <c r="CK17" s="46"/>
      <c r="CL17" s="46"/>
      <c r="CM17" s="46"/>
      <c r="CN17" s="46"/>
      <c r="CO17" s="56"/>
      <c r="CP17" s="46"/>
      <c r="CQ17" s="46"/>
      <c r="CR17" s="46"/>
      <c r="CS17" s="46"/>
      <c r="CT17" s="56"/>
      <c r="CU17" s="46"/>
      <c r="CV17" s="46"/>
      <c r="CW17" s="46"/>
      <c r="CX17" s="46"/>
      <c r="CY17" s="56"/>
      <c r="CZ17" s="46"/>
      <c r="DA17" s="46"/>
      <c r="DB17" s="49"/>
      <c r="DC17" s="46"/>
      <c r="DD17" s="56"/>
      <c r="DE17" s="46"/>
      <c r="DF17" s="46"/>
      <c r="DG17" s="46"/>
      <c r="DH17" s="46"/>
      <c r="DI17" s="56"/>
      <c r="DJ17" s="46"/>
      <c r="DK17" s="46"/>
      <c r="DL17" s="46"/>
      <c r="DM17" s="46"/>
      <c r="DN17" s="56"/>
      <c r="DO17" s="46"/>
      <c r="DP17" s="46"/>
      <c r="DQ17" s="46"/>
      <c r="DR17" s="46"/>
      <c r="DS17" s="56"/>
      <c r="DT17" s="49"/>
      <c r="DU17" s="46"/>
      <c r="DV17" s="46"/>
      <c r="DW17" s="46"/>
      <c r="DX17" s="56"/>
      <c r="DY17" s="46"/>
      <c r="DZ17" s="46"/>
      <c r="EA17" s="49"/>
      <c r="EB17" s="46"/>
      <c r="EC17" s="56"/>
      <c r="ED17" s="46"/>
      <c r="EE17" s="46"/>
      <c r="EF17" s="46"/>
      <c r="EG17" s="46"/>
      <c r="EH17" s="56"/>
      <c r="EI17" s="46"/>
      <c r="EJ17" s="46"/>
      <c r="EK17" s="46"/>
      <c r="EL17" s="46"/>
      <c r="EM17" s="56"/>
      <c r="EN17" s="46"/>
      <c r="EO17" s="46"/>
      <c r="EP17" s="46"/>
      <c r="EQ17" s="49"/>
      <c r="ER17" s="56"/>
      <c r="ES17" s="46"/>
      <c r="ET17" s="46"/>
      <c r="EU17" s="46"/>
      <c r="EV17" s="46"/>
      <c r="EW17" s="56"/>
      <c r="EX17" s="46"/>
      <c r="EY17" s="46"/>
      <c r="EZ17" s="46"/>
      <c r="FA17" s="46"/>
      <c r="FB17" s="56"/>
      <c r="FC17" s="46"/>
      <c r="FD17" s="46"/>
      <c r="FE17" s="46"/>
      <c r="FF17" s="46"/>
      <c r="FG17" s="46"/>
    </row>
    <row r="18" spans="1:163" ht="19.5" customHeight="1">
      <c r="A18" s="97"/>
      <c r="B18" s="62"/>
      <c r="C18" s="89"/>
      <c r="D18" s="95"/>
      <c r="E18" s="96"/>
      <c r="F18" s="197" t="s">
        <v>61</v>
      </c>
      <c r="G18" s="198"/>
      <c r="H18" s="37" t="s">
        <v>43</v>
      </c>
      <c r="I18" s="98"/>
      <c r="J18" s="98"/>
      <c r="K18" s="98" t="s">
        <v>62</v>
      </c>
      <c r="L18" s="39">
        <v>46323</v>
      </c>
      <c r="M18" s="39">
        <v>46324</v>
      </c>
      <c r="N18" s="39"/>
      <c r="O18" s="39"/>
      <c r="P18" s="40">
        <f>NETWORKDAYS(L18,M18,휴일!$A$2:$A$8)</f>
        <v>2</v>
      </c>
      <c r="Q18" s="41">
        <f>IF(NETWORKDAYS(N18,O18,휴일!$A$2:$A$8)&lt;0,"",NETWORKDAYS(N18,O18,휴일!$A$2:$A$8))</f>
        <v>0</v>
      </c>
      <c r="R18" s="38" t="str">
        <f>IFERROR(IF(M18&gt;=$M$1,IF(NETWORKDAYS(L18,$M$1,휴일!$A$2:$A$8)&gt;0,NETWORKDAYS(L18,$M$1,휴일!$A$2:$A$8),""),NETWORKDAYS(L18,M18,휴일!$A$2:$A$8)),"")</f>
        <v/>
      </c>
      <c r="S18" s="42">
        <f>IF(IFERROR(IF(O18&gt;=$M$1,IF(NETWORKDAYS(N18,$M$1,휴일!$A$2:$A$8)&gt;0,NETWORKDAYS(N18,$M$1,휴일!$A$2:$A$8),""),NETWORKDAYS(N18,O18,휴일!$A$2:$A$8)),"")&lt;0,"",IFERROR(IF(O18&gt;=$M$1,IF(NETWORKDAYS(N18,$M$1,휴일!$A$2:$A$8)&gt;0,NETWORKDAYS(N18,$M$1,휴일!$A$2:$A$8),""),NETWORKDAYS(N18,O18,휴일!$A$2:$A$8)),""))</f>
        <v>0</v>
      </c>
      <c r="T18" s="43">
        <f t="shared" si="2"/>
        <v>0</v>
      </c>
      <c r="U18" s="44">
        <f t="shared" si="3"/>
        <v>0</v>
      </c>
      <c r="V18" s="45">
        <f t="shared" si="4"/>
        <v>0</v>
      </c>
      <c r="W18" s="45">
        <f t="shared" si="1"/>
        <v>0</v>
      </c>
      <c r="X18" s="46"/>
      <c r="Y18" s="99"/>
      <c r="Z18" s="99"/>
      <c r="AA18" s="99"/>
      <c r="AB18" s="100"/>
      <c r="AC18" s="99"/>
      <c r="AD18" s="99"/>
      <c r="AE18" s="99"/>
      <c r="AF18" s="99"/>
      <c r="AG18" s="100"/>
      <c r="AH18" s="101"/>
      <c r="AI18" s="99"/>
      <c r="AJ18" s="99"/>
      <c r="AK18" s="99"/>
      <c r="AL18" s="100"/>
      <c r="AM18" s="99"/>
      <c r="AN18" s="99"/>
      <c r="AO18" s="99"/>
      <c r="AP18" s="99"/>
      <c r="AQ18" s="100"/>
      <c r="AR18" s="99"/>
      <c r="AS18" s="99"/>
      <c r="AT18" s="99"/>
      <c r="AU18" s="99"/>
      <c r="AV18" s="100"/>
      <c r="AW18" s="99"/>
      <c r="AX18" s="99"/>
      <c r="AY18" s="99"/>
      <c r="AZ18" s="99"/>
      <c r="BA18" s="100"/>
      <c r="BB18" s="99"/>
      <c r="BC18" s="99"/>
      <c r="BD18" s="99"/>
      <c r="BE18" s="99"/>
      <c r="BF18" s="100"/>
      <c r="BG18" s="99"/>
      <c r="BH18" s="99"/>
      <c r="BI18" s="99"/>
      <c r="BJ18" s="99"/>
      <c r="BK18" s="102"/>
      <c r="BL18" s="101"/>
      <c r="BM18" s="99"/>
      <c r="BN18" s="99"/>
      <c r="BO18" s="99"/>
      <c r="BP18" s="100"/>
      <c r="BQ18" s="99"/>
      <c r="BR18" s="99"/>
      <c r="BS18" s="99"/>
      <c r="BT18" s="99"/>
      <c r="BU18" s="100"/>
      <c r="BV18" s="99"/>
      <c r="BW18" s="99"/>
      <c r="BX18" s="99"/>
      <c r="BY18" s="99"/>
      <c r="BZ18" s="102"/>
      <c r="CA18" s="99"/>
      <c r="CB18" s="99"/>
      <c r="CC18" s="99"/>
      <c r="CD18" s="99"/>
      <c r="CE18" s="100"/>
      <c r="CF18" s="99"/>
      <c r="CG18" s="99"/>
      <c r="CH18" s="99"/>
      <c r="CI18" s="99"/>
      <c r="CJ18" s="100"/>
      <c r="CK18" s="99"/>
      <c r="CL18" s="99"/>
      <c r="CM18" s="99"/>
      <c r="CN18" s="99"/>
      <c r="CO18" s="100"/>
      <c r="CP18" s="99"/>
      <c r="CQ18" s="99"/>
      <c r="CR18" s="99"/>
      <c r="CS18" s="99"/>
      <c r="CT18" s="100"/>
      <c r="CU18" s="99"/>
      <c r="CV18" s="99"/>
      <c r="CW18" s="99"/>
      <c r="CX18" s="99"/>
      <c r="CY18" s="100"/>
      <c r="CZ18" s="99"/>
      <c r="DA18" s="99"/>
      <c r="DB18" s="101"/>
      <c r="DC18" s="99"/>
      <c r="DD18" s="100"/>
      <c r="DE18" s="99"/>
      <c r="DF18" s="99"/>
      <c r="DG18" s="99"/>
      <c r="DH18" s="99"/>
      <c r="DI18" s="100"/>
      <c r="DJ18" s="99"/>
      <c r="DK18" s="99"/>
      <c r="DL18" s="99"/>
      <c r="DM18" s="99"/>
      <c r="DN18" s="100"/>
      <c r="DO18" s="99"/>
      <c r="DP18" s="99"/>
      <c r="DQ18" s="99"/>
      <c r="DR18" s="99"/>
      <c r="DS18" s="100"/>
      <c r="DT18" s="101"/>
      <c r="DU18" s="99"/>
      <c r="DV18" s="99"/>
      <c r="DW18" s="99"/>
      <c r="DX18" s="100"/>
      <c r="DY18" s="99"/>
      <c r="DZ18" s="99"/>
      <c r="EA18" s="101"/>
      <c r="EB18" s="99"/>
      <c r="EC18" s="100"/>
      <c r="ED18" s="99"/>
      <c r="EE18" s="99"/>
      <c r="EF18" s="99"/>
      <c r="EG18" s="99"/>
      <c r="EH18" s="100"/>
      <c r="EI18" s="99"/>
      <c r="EJ18" s="99"/>
      <c r="EK18" s="99"/>
      <c r="EL18" s="99"/>
      <c r="EM18" s="100"/>
      <c r="EN18" s="99"/>
      <c r="EO18" s="99"/>
      <c r="EP18" s="99"/>
      <c r="EQ18" s="101"/>
      <c r="ER18" s="100"/>
      <c r="ES18" s="99"/>
      <c r="ET18" s="99"/>
      <c r="EU18" s="99"/>
      <c r="EV18" s="99"/>
      <c r="EW18" s="100"/>
      <c r="EX18" s="99"/>
      <c r="EY18" s="99"/>
      <c r="EZ18" s="99"/>
      <c r="FA18" s="99"/>
      <c r="FB18" s="100"/>
      <c r="FC18" s="99"/>
      <c r="FD18" s="99"/>
      <c r="FE18" s="99"/>
      <c r="FF18" s="99"/>
      <c r="FG18" s="99"/>
    </row>
    <row r="19" spans="1:163" ht="19.5" customHeight="1">
      <c r="A19" s="32"/>
      <c r="B19" s="62"/>
      <c r="C19" s="89"/>
      <c r="D19" s="95"/>
      <c r="E19" s="103"/>
      <c r="F19" s="179" t="s">
        <v>63</v>
      </c>
      <c r="G19" s="180"/>
      <c r="H19" s="104" t="s">
        <v>43</v>
      </c>
      <c r="I19" s="76"/>
      <c r="J19" s="76"/>
      <c r="K19" s="105" t="s">
        <v>64</v>
      </c>
      <c r="L19" s="39">
        <v>46324</v>
      </c>
      <c r="M19" s="39">
        <v>46324</v>
      </c>
      <c r="N19" s="106"/>
      <c r="O19" s="107"/>
      <c r="P19" s="76">
        <f>NETWORKDAYS(L19,M19,휴일!$A$2:$A$8)</f>
        <v>1</v>
      </c>
      <c r="Q19" s="78">
        <f>IF(NETWORKDAYS(N19,O19,휴일!$A$2:$A$8)&lt;0,"",NETWORKDAYS(N19,O19,휴일!$A$2:$A$8))</f>
        <v>0</v>
      </c>
      <c r="R19" s="38" t="str">
        <f>IFERROR(IF(M19&gt;=$M$1,IF(NETWORKDAYS(L19,$M$1,휴일!$A$2:$A$8)&gt;0,NETWORKDAYS(L19,$M$1,휴일!$A$2:$A$8),""),NETWORKDAYS(L19,M19,휴일!$A$2:$A$8)),"")</f>
        <v/>
      </c>
      <c r="S19" s="42">
        <f>IF(IFERROR(IF(O19&gt;=$M$1,IF(NETWORKDAYS(N19,$M$1,휴일!$A$2:$A$8)&gt;0,NETWORKDAYS(N19,$M$1,휴일!$A$2:$A$8),""),NETWORKDAYS(N19,O19,휴일!$A$2:$A$8)),"")&lt;0,"",IFERROR(IF(O19&gt;=$M$1,IF(NETWORKDAYS(N19,$M$1,휴일!$A$2:$A$8)&gt;0,NETWORKDAYS(N19,$M$1,휴일!$A$2:$A$8),""),NETWORKDAYS(N19,O19,휴일!$A$2:$A$8)),""))</f>
        <v>0</v>
      </c>
      <c r="T19" s="43">
        <f t="shared" si="2"/>
        <v>0</v>
      </c>
      <c r="U19" s="44">
        <f t="shared" si="3"/>
        <v>0</v>
      </c>
      <c r="V19" s="45">
        <f t="shared" si="4"/>
        <v>0</v>
      </c>
      <c r="W19" s="45">
        <f t="shared" si="1"/>
        <v>0</v>
      </c>
      <c r="X19" s="81"/>
      <c r="Y19" s="82"/>
      <c r="Z19" s="82"/>
      <c r="AA19" s="82"/>
      <c r="AB19" s="83"/>
      <c r="AC19" s="82"/>
      <c r="AD19" s="82"/>
      <c r="AE19" s="82"/>
      <c r="AF19" s="82"/>
      <c r="AG19" s="83"/>
      <c r="AH19" s="84"/>
      <c r="AI19" s="82"/>
      <c r="AJ19" s="82"/>
      <c r="AK19" s="82"/>
      <c r="AL19" s="83"/>
      <c r="AM19" s="82"/>
      <c r="AN19" s="82"/>
      <c r="AO19" s="82"/>
      <c r="AP19" s="82"/>
      <c r="AQ19" s="83"/>
      <c r="AR19" s="82"/>
      <c r="AS19" s="82"/>
      <c r="AT19" s="82"/>
      <c r="AU19" s="82"/>
      <c r="AV19" s="83"/>
      <c r="AW19" s="82"/>
      <c r="AX19" s="82"/>
      <c r="AY19" s="82"/>
      <c r="AZ19" s="82"/>
      <c r="BA19" s="83"/>
      <c r="BB19" s="82"/>
      <c r="BC19" s="82"/>
      <c r="BD19" s="82"/>
      <c r="BE19" s="82"/>
      <c r="BF19" s="83"/>
      <c r="BG19" s="82"/>
      <c r="BH19" s="82"/>
      <c r="BI19" s="82"/>
      <c r="BJ19" s="82"/>
      <c r="BK19" s="85"/>
      <c r="BL19" s="84"/>
      <c r="BM19" s="82"/>
      <c r="BN19" s="82"/>
      <c r="BO19" s="82"/>
      <c r="BP19" s="83"/>
      <c r="BQ19" s="82"/>
      <c r="BR19" s="82"/>
      <c r="BS19" s="82"/>
      <c r="BT19" s="82"/>
      <c r="BU19" s="83"/>
      <c r="BV19" s="82"/>
      <c r="BW19" s="82"/>
      <c r="BX19" s="82"/>
      <c r="BY19" s="82"/>
      <c r="BZ19" s="85"/>
      <c r="CA19" s="82"/>
      <c r="CB19" s="82"/>
      <c r="CC19" s="82"/>
      <c r="CD19" s="82"/>
      <c r="CE19" s="83"/>
      <c r="CF19" s="82"/>
      <c r="CG19" s="82"/>
      <c r="CH19" s="82"/>
      <c r="CI19" s="82"/>
      <c r="CJ19" s="83"/>
      <c r="CK19" s="82"/>
      <c r="CL19" s="82"/>
      <c r="CM19" s="82"/>
      <c r="CN19" s="82"/>
      <c r="CO19" s="83"/>
      <c r="CP19" s="82"/>
      <c r="CQ19" s="82"/>
      <c r="CR19" s="82"/>
      <c r="CS19" s="82"/>
      <c r="CT19" s="83"/>
      <c r="CU19" s="82"/>
      <c r="CV19" s="82"/>
      <c r="CW19" s="82"/>
      <c r="CX19" s="82"/>
      <c r="CY19" s="83"/>
      <c r="CZ19" s="82"/>
      <c r="DA19" s="82"/>
      <c r="DB19" s="84"/>
      <c r="DC19" s="82"/>
      <c r="DD19" s="83"/>
      <c r="DE19" s="82"/>
      <c r="DF19" s="82"/>
      <c r="DG19" s="82"/>
      <c r="DH19" s="82"/>
      <c r="DI19" s="83"/>
      <c r="DJ19" s="82"/>
      <c r="DK19" s="82"/>
      <c r="DL19" s="82"/>
      <c r="DM19" s="82"/>
      <c r="DN19" s="83"/>
      <c r="DO19" s="82"/>
      <c r="DP19" s="82"/>
      <c r="DQ19" s="82"/>
      <c r="DR19" s="82"/>
      <c r="DS19" s="83"/>
      <c r="DT19" s="84"/>
      <c r="DU19" s="82"/>
      <c r="DV19" s="82"/>
      <c r="DW19" s="82"/>
      <c r="DX19" s="83"/>
      <c r="DY19" s="82"/>
      <c r="DZ19" s="82"/>
      <c r="EA19" s="84"/>
      <c r="EB19" s="82"/>
      <c r="EC19" s="83"/>
      <c r="ED19" s="82"/>
      <c r="EE19" s="82"/>
      <c r="EF19" s="82"/>
      <c r="EG19" s="82"/>
      <c r="EH19" s="83"/>
      <c r="EI19" s="82"/>
      <c r="EJ19" s="82"/>
      <c r="EK19" s="82"/>
      <c r="EL19" s="82"/>
      <c r="EM19" s="83"/>
      <c r="EN19" s="82"/>
      <c r="EO19" s="82"/>
      <c r="EP19" s="82"/>
      <c r="EQ19" s="84"/>
      <c r="ER19" s="83"/>
      <c r="ES19" s="82"/>
      <c r="ET19" s="82"/>
      <c r="EU19" s="82"/>
      <c r="EV19" s="82"/>
      <c r="EW19" s="83"/>
      <c r="EX19" s="82"/>
      <c r="EY19" s="82"/>
      <c r="EZ19" s="82"/>
      <c r="FA19" s="82"/>
      <c r="FB19" s="83"/>
      <c r="FC19" s="82"/>
      <c r="FD19" s="82"/>
      <c r="FE19" s="82"/>
      <c r="FF19" s="82"/>
      <c r="FG19" s="82"/>
    </row>
    <row r="20" spans="1:163" ht="19.5" customHeight="1">
      <c r="A20" s="32"/>
      <c r="B20" s="62"/>
      <c r="C20" s="89"/>
      <c r="D20" s="95"/>
      <c r="E20" s="96"/>
      <c r="F20" s="189" t="s">
        <v>65</v>
      </c>
      <c r="G20" s="190"/>
      <c r="H20" s="108" t="s">
        <v>35</v>
      </c>
      <c r="I20" s="109"/>
      <c r="J20" s="109"/>
      <c r="K20" s="109" t="s">
        <v>66</v>
      </c>
      <c r="L20" s="39">
        <v>46324</v>
      </c>
      <c r="M20" s="39">
        <v>46324</v>
      </c>
      <c r="N20" s="110"/>
      <c r="O20" s="111"/>
      <c r="P20" s="38">
        <f>NETWORKDAYS(L20,M20,휴일!$A$2:$A$8)</f>
        <v>1</v>
      </c>
      <c r="Q20" s="41">
        <f>IF(NETWORKDAYS(N20,O20,휴일!$A$2:$A$8)&lt;0,"",NETWORKDAYS(N20,O20,휴일!$A$2:$A$8))</f>
        <v>0</v>
      </c>
      <c r="R20" s="38" t="str">
        <f>IFERROR(IF(M20&gt;=$M$1,IF(NETWORKDAYS(L20,$M$1,휴일!$A$2:$A$8)&gt;0,NETWORKDAYS(L20,$M$1,휴일!$A$2:$A$8),""),NETWORKDAYS(L20,M20,휴일!$A$2:$A$8)),"")</f>
        <v/>
      </c>
      <c r="S20" s="42">
        <f>IF(IFERROR(IF(O20&gt;=$M$1,IF(NETWORKDAYS(N20,$M$1,휴일!$A$2:$A$8)&gt;0,NETWORKDAYS(N20,$M$1,휴일!$A$2:$A$8),""),NETWORKDAYS(N20,O20,휴일!$A$2:$A$8)),"")&lt;0,"",IFERROR(IF(O20&gt;=$M$1,IF(NETWORKDAYS(N20,$M$1,휴일!$A$2:$A$8)&gt;0,NETWORKDAYS(N20,$M$1,휴일!$A$2:$A$8),""),NETWORKDAYS(N20,O20,휴일!$A$2:$A$8)),""))</f>
        <v>0</v>
      </c>
      <c r="T20" s="43">
        <f t="shared" si="2"/>
        <v>0</v>
      </c>
      <c r="U20" s="44">
        <f t="shared" si="3"/>
        <v>0</v>
      </c>
      <c r="V20" s="45">
        <f t="shared" si="4"/>
        <v>0</v>
      </c>
      <c r="W20" s="45">
        <f t="shared" si="1"/>
        <v>0</v>
      </c>
      <c r="X20" s="112"/>
      <c r="Y20" s="112"/>
      <c r="Z20" s="112"/>
      <c r="AA20" s="112"/>
      <c r="AB20" s="113"/>
      <c r="AC20" s="112"/>
      <c r="AD20" s="112"/>
      <c r="AE20" s="112"/>
      <c r="AF20" s="112"/>
      <c r="AG20" s="113"/>
      <c r="AH20" s="114"/>
      <c r="AI20" s="112"/>
      <c r="AJ20" s="112"/>
      <c r="AK20" s="112"/>
      <c r="AL20" s="113"/>
      <c r="AM20" s="112"/>
      <c r="AN20" s="112"/>
      <c r="AO20" s="112"/>
      <c r="AP20" s="112"/>
      <c r="AQ20" s="113"/>
      <c r="AR20" s="112"/>
      <c r="AS20" s="112"/>
      <c r="AT20" s="112"/>
      <c r="AU20" s="112"/>
      <c r="AV20" s="113"/>
      <c r="AW20" s="112"/>
      <c r="AX20" s="112"/>
      <c r="AY20" s="112"/>
      <c r="AZ20" s="112"/>
      <c r="BA20" s="113"/>
      <c r="BB20" s="112"/>
      <c r="BC20" s="112"/>
      <c r="BD20" s="112"/>
      <c r="BE20" s="112"/>
      <c r="BF20" s="113"/>
      <c r="BG20" s="112"/>
      <c r="BH20" s="112"/>
      <c r="BI20" s="112"/>
      <c r="BJ20" s="112"/>
      <c r="BK20" s="115"/>
      <c r="BL20" s="114"/>
      <c r="BM20" s="112"/>
      <c r="BN20" s="112"/>
      <c r="BO20" s="112"/>
      <c r="BP20" s="113"/>
      <c r="BQ20" s="112"/>
      <c r="BR20" s="112"/>
      <c r="BS20" s="112"/>
      <c r="BT20" s="112"/>
      <c r="BU20" s="113"/>
      <c r="BV20" s="112"/>
      <c r="BW20" s="112"/>
      <c r="BX20" s="112"/>
      <c r="BY20" s="112"/>
      <c r="BZ20" s="115"/>
      <c r="CA20" s="112"/>
      <c r="CB20" s="112"/>
      <c r="CC20" s="112"/>
      <c r="CD20" s="112"/>
      <c r="CE20" s="113"/>
      <c r="CF20" s="112"/>
      <c r="CG20" s="112"/>
      <c r="CH20" s="112"/>
      <c r="CI20" s="112"/>
      <c r="CJ20" s="113"/>
      <c r="CK20" s="112"/>
      <c r="CL20" s="112"/>
      <c r="CM20" s="112"/>
      <c r="CN20" s="112"/>
      <c r="CO20" s="113"/>
      <c r="CP20" s="112"/>
      <c r="CQ20" s="112"/>
      <c r="CR20" s="112"/>
      <c r="CS20" s="112"/>
      <c r="CT20" s="113"/>
      <c r="CU20" s="112"/>
      <c r="CV20" s="112"/>
      <c r="CW20" s="112"/>
      <c r="CX20" s="112"/>
      <c r="CY20" s="113"/>
      <c r="CZ20" s="112"/>
      <c r="DA20" s="112"/>
      <c r="DB20" s="114"/>
      <c r="DC20" s="112"/>
      <c r="DD20" s="113"/>
      <c r="DE20" s="112"/>
      <c r="DF20" s="112"/>
      <c r="DG20" s="112"/>
      <c r="DH20" s="112"/>
      <c r="DI20" s="113"/>
      <c r="DJ20" s="112"/>
      <c r="DK20" s="112"/>
      <c r="DL20" s="112"/>
      <c r="DM20" s="112"/>
      <c r="DN20" s="113"/>
      <c r="DO20" s="112"/>
      <c r="DP20" s="112"/>
      <c r="DQ20" s="112"/>
      <c r="DR20" s="112"/>
      <c r="DS20" s="113"/>
      <c r="DT20" s="114"/>
      <c r="DU20" s="112"/>
      <c r="DV20" s="112"/>
      <c r="DW20" s="112"/>
      <c r="DX20" s="113"/>
      <c r="DY20" s="112"/>
      <c r="DZ20" s="112"/>
      <c r="EA20" s="114"/>
      <c r="EB20" s="112"/>
      <c r="EC20" s="113"/>
      <c r="ED20" s="112"/>
      <c r="EE20" s="112"/>
      <c r="EF20" s="112"/>
      <c r="EG20" s="112"/>
      <c r="EH20" s="113"/>
      <c r="EI20" s="112"/>
      <c r="EJ20" s="112"/>
      <c r="EK20" s="112"/>
      <c r="EL20" s="112"/>
      <c r="EM20" s="113"/>
      <c r="EN20" s="112"/>
      <c r="EO20" s="112"/>
      <c r="EP20" s="112"/>
      <c r="EQ20" s="114"/>
      <c r="ER20" s="113"/>
      <c r="ES20" s="112"/>
      <c r="ET20" s="112"/>
      <c r="EU20" s="112"/>
      <c r="EV20" s="112"/>
      <c r="EW20" s="113"/>
      <c r="EX20" s="112"/>
      <c r="EY20" s="112"/>
      <c r="EZ20" s="112"/>
      <c r="FA20" s="112"/>
      <c r="FB20" s="113"/>
      <c r="FC20" s="112"/>
      <c r="FD20" s="112"/>
      <c r="FE20" s="112"/>
      <c r="FF20" s="112"/>
      <c r="FG20" s="112"/>
    </row>
    <row r="21" spans="1:163" ht="19.5" customHeight="1">
      <c r="A21" s="32"/>
      <c r="B21" s="62"/>
      <c r="C21" s="89"/>
      <c r="D21" s="95"/>
      <c r="E21" s="96"/>
      <c r="F21" s="189" t="s">
        <v>67</v>
      </c>
      <c r="G21" s="190"/>
      <c r="H21" s="108" t="s">
        <v>35</v>
      </c>
      <c r="I21" s="109"/>
      <c r="J21" s="109"/>
      <c r="K21" s="109" t="s">
        <v>68</v>
      </c>
      <c r="L21" s="39">
        <v>46325</v>
      </c>
      <c r="M21" s="39">
        <v>46325</v>
      </c>
      <c r="N21" s="110"/>
      <c r="O21" s="111"/>
      <c r="P21" s="38">
        <f>NETWORKDAYS(L21,M21,휴일!$A$2:$A$8)</f>
        <v>1</v>
      </c>
      <c r="Q21" s="41">
        <f>IF(NETWORKDAYS(N21,O21,휴일!$A$2:$A$8)&lt;0,"",NETWORKDAYS(N21,O21,휴일!$A$2:$A$8))</f>
        <v>0</v>
      </c>
      <c r="R21" s="38" t="str">
        <f>IFERROR(IF(M21&gt;=$M$1,IF(NETWORKDAYS(L21,$M$1,휴일!$A$2:$A$8)&gt;0,NETWORKDAYS(L21,$M$1,휴일!$A$2:$A$8),""),NETWORKDAYS(L21,M21,휴일!$A$2:$A$8)),"")</f>
        <v/>
      </c>
      <c r="S21" s="42">
        <f>IF(IFERROR(IF(O21&gt;=$M$1,IF(NETWORKDAYS(N21,$M$1,휴일!$A$2:$A$8)&gt;0,NETWORKDAYS(N21,$M$1,휴일!$A$2:$A$8),""),NETWORKDAYS(N21,O21,휴일!$A$2:$A$8)),"")&lt;0,"",IFERROR(IF(O21&gt;=$M$1,IF(NETWORKDAYS(N21,$M$1,휴일!$A$2:$A$8)&gt;0,NETWORKDAYS(N21,$M$1,휴일!$A$2:$A$8),""),NETWORKDAYS(N21,O21,휴일!$A$2:$A$8)),""))</f>
        <v>0</v>
      </c>
      <c r="T21" s="43">
        <f t="shared" si="2"/>
        <v>0</v>
      </c>
      <c r="U21" s="44">
        <f t="shared" si="3"/>
        <v>0</v>
      </c>
      <c r="V21" s="45">
        <f t="shared" si="4"/>
        <v>0</v>
      </c>
      <c r="W21" s="45">
        <f t="shared" si="1"/>
        <v>0</v>
      </c>
      <c r="X21" s="112"/>
      <c r="Y21" s="112"/>
      <c r="Z21" s="112"/>
      <c r="AA21" s="112"/>
      <c r="AB21" s="113"/>
      <c r="AC21" s="112"/>
      <c r="AD21" s="112"/>
      <c r="AE21" s="112"/>
      <c r="AF21" s="112"/>
      <c r="AG21" s="113"/>
      <c r="AH21" s="114"/>
      <c r="AI21" s="112"/>
      <c r="AJ21" s="112"/>
      <c r="AK21" s="112"/>
      <c r="AL21" s="113"/>
      <c r="AM21" s="112"/>
      <c r="AN21" s="112"/>
      <c r="AO21" s="112"/>
      <c r="AP21" s="112"/>
      <c r="AQ21" s="113"/>
      <c r="AR21" s="112"/>
      <c r="AS21" s="112"/>
      <c r="AT21" s="112"/>
      <c r="AU21" s="112"/>
      <c r="AV21" s="113"/>
      <c r="AW21" s="112"/>
      <c r="AX21" s="112"/>
      <c r="AY21" s="112"/>
      <c r="AZ21" s="112"/>
      <c r="BA21" s="113"/>
      <c r="BB21" s="112"/>
      <c r="BC21" s="112"/>
      <c r="BD21" s="112"/>
      <c r="BE21" s="112"/>
      <c r="BF21" s="113"/>
      <c r="BG21" s="112"/>
      <c r="BH21" s="112"/>
      <c r="BI21" s="112"/>
      <c r="BJ21" s="112"/>
      <c r="BK21" s="115"/>
      <c r="BL21" s="114"/>
      <c r="BM21" s="112"/>
      <c r="BN21" s="112"/>
      <c r="BO21" s="112"/>
      <c r="BP21" s="113"/>
      <c r="BQ21" s="112"/>
      <c r="BR21" s="112"/>
      <c r="BS21" s="112"/>
      <c r="BT21" s="112"/>
      <c r="BU21" s="113"/>
      <c r="BV21" s="112"/>
      <c r="BW21" s="112"/>
      <c r="BX21" s="112"/>
      <c r="BY21" s="112"/>
      <c r="BZ21" s="115"/>
      <c r="CA21" s="112"/>
      <c r="CB21" s="112"/>
      <c r="CC21" s="112"/>
      <c r="CD21" s="112"/>
      <c r="CE21" s="113"/>
      <c r="CF21" s="112"/>
      <c r="CG21" s="112"/>
      <c r="CH21" s="112"/>
      <c r="CI21" s="112"/>
      <c r="CJ21" s="113"/>
      <c r="CK21" s="112"/>
      <c r="CL21" s="112"/>
      <c r="CM21" s="112"/>
      <c r="CN21" s="112"/>
      <c r="CO21" s="113"/>
      <c r="CP21" s="112"/>
      <c r="CQ21" s="112"/>
      <c r="CR21" s="112"/>
      <c r="CS21" s="112"/>
      <c r="CT21" s="113"/>
      <c r="CU21" s="112"/>
      <c r="CV21" s="112"/>
      <c r="CW21" s="112"/>
      <c r="CX21" s="112"/>
      <c r="CY21" s="113"/>
      <c r="CZ21" s="112"/>
      <c r="DA21" s="112"/>
      <c r="DB21" s="114"/>
      <c r="DC21" s="112"/>
      <c r="DD21" s="113"/>
      <c r="DE21" s="112"/>
      <c r="DF21" s="112"/>
      <c r="DG21" s="112"/>
      <c r="DH21" s="112"/>
      <c r="DI21" s="113"/>
      <c r="DJ21" s="112"/>
      <c r="DK21" s="112"/>
      <c r="DL21" s="112"/>
      <c r="DM21" s="112"/>
      <c r="DN21" s="113"/>
      <c r="DO21" s="112"/>
      <c r="DP21" s="112"/>
      <c r="DQ21" s="112"/>
      <c r="DR21" s="112"/>
      <c r="DS21" s="113"/>
      <c r="DT21" s="114"/>
      <c r="DU21" s="112"/>
      <c r="DV21" s="112"/>
      <c r="DW21" s="112"/>
      <c r="DX21" s="113"/>
      <c r="DY21" s="112"/>
      <c r="DZ21" s="112"/>
      <c r="EA21" s="114"/>
      <c r="EB21" s="112"/>
      <c r="EC21" s="113"/>
      <c r="ED21" s="112"/>
      <c r="EE21" s="112"/>
      <c r="EF21" s="112"/>
      <c r="EG21" s="112"/>
      <c r="EH21" s="113"/>
      <c r="EI21" s="112"/>
      <c r="EJ21" s="112"/>
      <c r="EK21" s="112"/>
      <c r="EL21" s="112"/>
      <c r="EM21" s="113"/>
      <c r="EN21" s="112"/>
      <c r="EO21" s="112"/>
      <c r="EP21" s="112"/>
      <c r="EQ21" s="114"/>
      <c r="ER21" s="113"/>
      <c r="ES21" s="112"/>
      <c r="ET21" s="112"/>
      <c r="EU21" s="112"/>
      <c r="EV21" s="112"/>
      <c r="EW21" s="113"/>
      <c r="EX21" s="112"/>
      <c r="EY21" s="112"/>
      <c r="EZ21" s="112"/>
      <c r="FA21" s="112"/>
      <c r="FB21" s="113"/>
      <c r="FC21" s="112"/>
      <c r="FD21" s="112"/>
      <c r="FE21" s="112"/>
      <c r="FF21" s="112"/>
      <c r="FG21" s="112"/>
    </row>
    <row r="22" spans="1:163" ht="19.5" customHeight="1">
      <c r="A22" s="32"/>
      <c r="B22" s="62"/>
      <c r="C22" s="89"/>
      <c r="D22" s="95"/>
      <c r="E22" s="96"/>
      <c r="F22" s="189" t="s">
        <v>69</v>
      </c>
      <c r="G22" s="190"/>
      <c r="H22" s="108" t="s">
        <v>35</v>
      </c>
      <c r="I22" s="109"/>
      <c r="J22" s="109"/>
      <c r="K22" s="109" t="s">
        <v>70</v>
      </c>
      <c r="L22" s="39">
        <v>46328</v>
      </c>
      <c r="M22" s="39">
        <v>46328</v>
      </c>
      <c r="N22" s="110"/>
      <c r="O22" s="111"/>
      <c r="P22" s="38">
        <f>NETWORKDAYS(L22,M22,휴일!$A$2:$A$8)</f>
        <v>1</v>
      </c>
      <c r="Q22" s="41">
        <f>IF(NETWORKDAYS(N22,O22,휴일!$A$2:$A$8)&lt;0,"",NETWORKDAYS(N22,O22,휴일!$A$2:$A$8))</f>
        <v>0</v>
      </c>
      <c r="R22" s="38" t="str">
        <f>IFERROR(IF(M22&gt;=$M$1,IF(NETWORKDAYS(L22,$M$1,휴일!$A$2:$A$8)&gt;0,NETWORKDAYS(L22,$M$1,휴일!$A$2:$A$8),""),NETWORKDAYS(L22,M22,휴일!$A$2:$A$8)),"")</f>
        <v/>
      </c>
      <c r="S22" s="42">
        <f>IF(IFERROR(IF(O22&gt;=$M$1,IF(NETWORKDAYS(N22,$M$1,휴일!$A$2:$A$8)&gt;0,NETWORKDAYS(N22,$M$1,휴일!$A$2:$A$8),""),NETWORKDAYS(N22,O22,휴일!$A$2:$A$8)),"")&lt;0,"",IFERROR(IF(O22&gt;=$M$1,IF(NETWORKDAYS(N22,$M$1,휴일!$A$2:$A$8)&gt;0,NETWORKDAYS(N22,$M$1,휴일!$A$2:$A$8),""),NETWORKDAYS(N22,O22,휴일!$A$2:$A$8)),""))</f>
        <v>0</v>
      </c>
      <c r="T22" s="43">
        <f t="shared" si="2"/>
        <v>0</v>
      </c>
      <c r="U22" s="44">
        <f t="shared" si="3"/>
        <v>0</v>
      </c>
      <c r="V22" s="45">
        <f t="shared" si="4"/>
        <v>0</v>
      </c>
      <c r="W22" s="45">
        <f t="shared" si="1"/>
        <v>0</v>
      </c>
      <c r="X22" s="112"/>
      <c r="Y22" s="112"/>
      <c r="Z22" s="112"/>
      <c r="AA22" s="112"/>
      <c r="AB22" s="113"/>
      <c r="AC22" s="112"/>
      <c r="AD22" s="112"/>
      <c r="AE22" s="112"/>
      <c r="AF22" s="112"/>
      <c r="AG22" s="113"/>
      <c r="AH22" s="114"/>
      <c r="AI22" s="112"/>
      <c r="AJ22" s="112"/>
      <c r="AK22" s="112"/>
      <c r="AL22" s="113"/>
      <c r="AM22" s="112"/>
      <c r="AN22" s="112"/>
      <c r="AO22" s="112"/>
      <c r="AP22" s="112"/>
      <c r="AQ22" s="113"/>
      <c r="AR22" s="112"/>
      <c r="AS22" s="112"/>
      <c r="AT22" s="112"/>
      <c r="AU22" s="112"/>
      <c r="AV22" s="113"/>
      <c r="AW22" s="112"/>
      <c r="AX22" s="112"/>
      <c r="AY22" s="112"/>
      <c r="AZ22" s="112"/>
      <c r="BA22" s="113"/>
      <c r="BB22" s="112"/>
      <c r="BC22" s="112"/>
      <c r="BD22" s="112"/>
      <c r="BE22" s="112"/>
      <c r="BF22" s="113"/>
      <c r="BG22" s="112"/>
      <c r="BH22" s="112"/>
      <c r="BI22" s="112"/>
      <c r="BJ22" s="112"/>
      <c r="BK22" s="115"/>
      <c r="BL22" s="114"/>
      <c r="BM22" s="112"/>
      <c r="BN22" s="112"/>
      <c r="BO22" s="112"/>
      <c r="BP22" s="113"/>
      <c r="BQ22" s="112"/>
      <c r="BR22" s="112"/>
      <c r="BS22" s="112"/>
      <c r="BT22" s="112"/>
      <c r="BU22" s="113"/>
      <c r="BV22" s="112"/>
      <c r="BW22" s="112"/>
      <c r="BX22" s="112"/>
      <c r="BY22" s="112"/>
      <c r="BZ22" s="115"/>
      <c r="CA22" s="112"/>
      <c r="CB22" s="112"/>
      <c r="CC22" s="112"/>
      <c r="CD22" s="112"/>
      <c r="CE22" s="113"/>
      <c r="CF22" s="112"/>
      <c r="CG22" s="112"/>
      <c r="CH22" s="112"/>
      <c r="CI22" s="112"/>
      <c r="CJ22" s="113"/>
      <c r="CK22" s="112"/>
      <c r="CL22" s="112"/>
      <c r="CM22" s="112"/>
      <c r="CN22" s="112"/>
      <c r="CO22" s="113"/>
      <c r="CP22" s="112"/>
      <c r="CQ22" s="112"/>
      <c r="CR22" s="112"/>
      <c r="CS22" s="112"/>
      <c r="CT22" s="113"/>
      <c r="CU22" s="112"/>
      <c r="CV22" s="112"/>
      <c r="CW22" s="112"/>
      <c r="CX22" s="112"/>
      <c r="CY22" s="113"/>
      <c r="CZ22" s="112"/>
      <c r="DA22" s="112"/>
      <c r="DB22" s="114"/>
      <c r="DC22" s="112"/>
      <c r="DD22" s="113"/>
      <c r="DE22" s="112"/>
      <c r="DF22" s="112"/>
      <c r="DG22" s="112"/>
      <c r="DH22" s="112"/>
      <c r="DI22" s="113"/>
      <c r="DJ22" s="112"/>
      <c r="DK22" s="112"/>
      <c r="DL22" s="112"/>
      <c r="DM22" s="112"/>
      <c r="DN22" s="113"/>
      <c r="DO22" s="112"/>
      <c r="DP22" s="112"/>
      <c r="DQ22" s="112"/>
      <c r="DR22" s="112"/>
      <c r="DS22" s="113"/>
      <c r="DT22" s="114"/>
      <c r="DU22" s="112"/>
      <c r="DV22" s="112"/>
      <c r="DW22" s="112"/>
      <c r="DX22" s="113"/>
      <c r="DY22" s="112"/>
      <c r="DZ22" s="112"/>
      <c r="EA22" s="114"/>
      <c r="EB22" s="112"/>
      <c r="EC22" s="113"/>
      <c r="ED22" s="112"/>
      <c r="EE22" s="112"/>
      <c r="EF22" s="112"/>
      <c r="EG22" s="112"/>
      <c r="EH22" s="113"/>
      <c r="EI22" s="112"/>
      <c r="EJ22" s="112"/>
      <c r="EK22" s="112"/>
      <c r="EL22" s="112"/>
      <c r="EM22" s="113"/>
      <c r="EN22" s="112"/>
      <c r="EO22" s="112"/>
      <c r="EP22" s="112"/>
      <c r="EQ22" s="114"/>
      <c r="ER22" s="113"/>
      <c r="ES22" s="112"/>
      <c r="ET22" s="112"/>
      <c r="EU22" s="112"/>
      <c r="EV22" s="112"/>
      <c r="EW22" s="113"/>
      <c r="EX22" s="112"/>
      <c r="EY22" s="112"/>
      <c r="EZ22" s="112"/>
      <c r="FA22" s="112"/>
      <c r="FB22" s="113"/>
      <c r="FC22" s="112"/>
      <c r="FD22" s="112"/>
      <c r="FE22" s="112"/>
      <c r="FF22" s="112"/>
      <c r="FG22" s="112"/>
    </row>
    <row r="23" spans="1:163" ht="19.5" customHeight="1">
      <c r="A23" s="32"/>
      <c r="B23" s="62"/>
      <c r="C23" s="89"/>
      <c r="D23" s="95"/>
      <c r="E23" s="116"/>
      <c r="F23" s="209" t="s">
        <v>71</v>
      </c>
      <c r="G23" s="210"/>
      <c r="H23" s="108" t="s">
        <v>35</v>
      </c>
      <c r="I23" s="117"/>
      <c r="J23" s="117"/>
      <c r="K23" s="117" t="s">
        <v>72</v>
      </c>
      <c r="L23" s="39">
        <v>46325</v>
      </c>
      <c r="M23" s="39">
        <v>46325</v>
      </c>
      <c r="N23" s="118"/>
      <c r="O23" s="118"/>
      <c r="P23" s="38">
        <f>NETWORKDAYS(L23,M23,휴일!$A$2:$A$8)</f>
        <v>1</v>
      </c>
      <c r="Q23" s="41">
        <f>IF(NETWORKDAYS(N23,O23,휴일!$A$2:$A$8)&lt;0,"",NETWORKDAYS(N23,O23,휴일!$A$2:$A$8))</f>
        <v>0</v>
      </c>
      <c r="R23" s="38" t="str">
        <f>IFERROR(IF(M23&gt;=$M$1,IF(NETWORKDAYS(L23,$M$1,휴일!$A$2:$A$8)&gt;0,NETWORKDAYS(L23,$M$1,휴일!$A$2:$A$8),""),NETWORKDAYS(L23,M23,휴일!$A$2:$A$8)),"")</f>
        <v/>
      </c>
      <c r="S23" s="42">
        <f>IF(IFERROR(IF(O23&gt;=$M$1,IF(NETWORKDAYS(N23,$M$1,휴일!$A$2:$A$8)&gt;0,NETWORKDAYS(N23,$M$1,휴일!$A$2:$A$8),""),NETWORKDAYS(N23,O23,휴일!$A$2:$A$8)),"")&lt;0,"",IFERROR(IF(O23&gt;=$M$1,IF(NETWORKDAYS(N23,$M$1,휴일!$A$2:$A$8)&gt;0,NETWORKDAYS(N23,$M$1,휴일!$A$2:$A$8),""),NETWORKDAYS(N23,O23,휴일!$A$2:$A$8)),""))</f>
        <v>0</v>
      </c>
      <c r="T23" s="43">
        <f t="shared" si="2"/>
        <v>0</v>
      </c>
      <c r="U23" s="44">
        <f t="shared" si="3"/>
        <v>0</v>
      </c>
      <c r="V23" s="45">
        <f t="shared" si="4"/>
        <v>0</v>
      </c>
      <c r="W23" s="45">
        <f t="shared" si="1"/>
        <v>0</v>
      </c>
      <c r="X23" s="112"/>
      <c r="Y23" s="112"/>
      <c r="Z23" s="112"/>
      <c r="AA23" s="112"/>
      <c r="AB23" s="113"/>
      <c r="AC23" s="112"/>
      <c r="AD23" s="112"/>
      <c r="AE23" s="112"/>
      <c r="AF23" s="112"/>
      <c r="AG23" s="113"/>
      <c r="AH23" s="119"/>
      <c r="AI23" s="112"/>
      <c r="AJ23" s="112"/>
      <c r="AK23" s="112"/>
      <c r="AL23" s="113"/>
      <c r="AM23" s="112"/>
      <c r="AN23" s="112"/>
      <c r="AO23" s="112"/>
      <c r="AP23" s="112"/>
      <c r="AQ23" s="113"/>
      <c r="AR23" s="112"/>
      <c r="AS23" s="112"/>
      <c r="AT23" s="112"/>
      <c r="AU23" s="112"/>
      <c r="AV23" s="113"/>
      <c r="AW23" s="112"/>
      <c r="AX23" s="112"/>
      <c r="AY23" s="112"/>
      <c r="AZ23" s="112"/>
      <c r="BA23" s="113"/>
      <c r="BB23" s="112"/>
      <c r="BC23" s="112"/>
      <c r="BD23" s="112"/>
      <c r="BE23" s="112"/>
      <c r="BF23" s="113"/>
      <c r="BG23" s="112"/>
      <c r="BH23" s="112"/>
      <c r="BI23" s="112"/>
      <c r="BJ23" s="112"/>
      <c r="BK23" s="120"/>
      <c r="BL23" s="119"/>
      <c r="BM23" s="112"/>
      <c r="BN23" s="112"/>
      <c r="BO23" s="112"/>
      <c r="BP23" s="113"/>
      <c r="BQ23" s="112"/>
      <c r="BR23" s="112"/>
      <c r="BS23" s="112"/>
      <c r="BT23" s="112"/>
      <c r="BU23" s="113"/>
      <c r="BV23" s="112"/>
      <c r="BW23" s="112"/>
      <c r="BX23" s="112"/>
      <c r="BY23" s="112"/>
      <c r="BZ23" s="120"/>
      <c r="CA23" s="112"/>
      <c r="CB23" s="112"/>
      <c r="CC23" s="112"/>
      <c r="CD23" s="112"/>
      <c r="CE23" s="113"/>
      <c r="CF23" s="112"/>
      <c r="CG23" s="112"/>
      <c r="CH23" s="112"/>
      <c r="CI23" s="112"/>
      <c r="CJ23" s="113"/>
      <c r="CK23" s="112"/>
      <c r="CL23" s="112"/>
      <c r="CM23" s="112"/>
      <c r="CN23" s="112"/>
      <c r="CO23" s="113"/>
      <c r="CP23" s="112"/>
      <c r="CQ23" s="112"/>
      <c r="CR23" s="112"/>
      <c r="CS23" s="112"/>
      <c r="CT23" s="113"/>
      <c r="CU23" s="112"/>
      <c r="CV23" s="112"/>
      <c r="CW23" s="112"/>
      <c r="CX23" s="112"/>
      <c r="CY23" s="113"/>
      <c r="CZ23" s="112"/>
      <c r="DA23" s="112"/>
      <c r="DB23" s="119"/>
      <c r="DC23" s="112"/>
      <c r="DD23" s="113"/>
      <c r="DE23" s="112"/>
      <c r="DF23" s="112"/>
      <c r="DG23" s="112"/>
      <c r="DH23" s="112"/>
      <c r="DI23" s="113"/>
      <c r="DJ23" s="112"/>
      <c r="DK23" s="112"/>
      <c r="DL23" s="112"/>
      <c r="DM23" s="112"/>
      <c r="DN23" s="113"/>
      <c r="DO23" s="112"/>
      <c r="DP23" s="112"/>
      <c r="DQ23" s="112"/>
      <c r="DR23" s="112"/>
      <c r="DS23" s="113"/>
      <c r="DT23" s="119"/>
      <c r="DU23" s="112"/>
      <c r="DV23" s="112"/>
      <c r="DW23" s="112"/>
      <c r="DX23" s="113"/>
      <c r="DY23" s="112"/>
      <c r="DZ23" s="112"/>
      <c r="EA23" s="119"/>
      <c r="EB23" s="112"/>
      <c r="EC23" s="113"/>
      <c r="ED23" s="112"/>
      <c r="EE23" s="112"/>
      <c r="EF23" s="112"/>
      <c r="EG23" s="112"/>
      <c r="EH23" s="113"/>
      <c r="EI23" s="112"/>
      <c r="EJ23" s="112"/>
      <c r="EK23" s="112"/>
      <c r="EL23" s="112"/>
      <c r="EM23" s="113"/>
      <c r="EN23" s="112"/>
      <c r="EO23" s="112"/>
      <c r="EP23" s="112"/>
      <c r="EQ23" s="119"/>
      <c r="ER23" s="113"/>
      <c r="ES23" s="112"/>
      <c r="ET23" s="112"/>
      <c r="EU23" s="112"/>
      <c r="EV23" s="112"/>
      <c r="EW23" s="113"/>
      <c r="EX23" s="112"/>
      <c r="EY23" s="112"/>
      <c r="EZ23" s="112"/>
      <c r="FA23" s="112"/>
      <c r="FB23" s="113"/>
      <c r="FC23" s="112"/>
      <c r="FD23" s="112"/>
      <c r="FE23" s="112"/>
      <c r="FF23" s="112"/>
      <c r="FG23" s="112"/>
    </row>
    <row r="24" spans="1:163" ht="19.5" customHeight="1">
      <c r="A24" s="32"/>
      <c r="B24" s="62"/>
      <c r="C24" s="89"/>
      <c r="D24" s="95"/>
      <c r="E24" s="103"/>
      <c r="F24" s="179" t="s">
        <v>73</v>
      </c>
      <c r="G24" s="180"/>
      <c r="H24" s="104" t="s">
        <v>36</v>
      </c>
      <c r="I24" s="105"/>
      <c r="J24" s="105"/>
      <c r="K24" s="105" t="s">
        <v>74</v>
      </c>
      <c r="L24" s="39">
        <v>46324</v>
      </c>
      <c r="M24" s="39">
        <v>46325</v>
      </c>
      <c r="N24" s="121"/>
      <c r="O24" s="122"/>
      <c r="P24" s="76">
        <f>NETWORKDAYS(L24,M24,휴일!$A$2:$A$8)</f>
        <v>2</v>
      </c>
      <c r="Q24" s="78">
        <f>IF(NETWORKDAYS(N24,O24,휴일!$A$2:$A$8)&lt;0,"",NETWORKDAYS(N24,O24,휴일!$A$2:$A$8))</f>
        <v>0</v>
      </c>
      <c r="R24" s="38" t="str">
        <f>IFERROR(IF(M24&gt;=$M$1,IF(NETWORKDAYS(L24,$M$1,휴일!$A$2:$A$8)&gt;0,NETWORKDAYS(L24,$M$1,휴일!$A$2:$A$8),""),NETWORKDAYS(L24,M24,휴일!$A$2:$A$8)),"")</f>
        <v/>
      </c>
      <c r="S24" s="42">
        <f>IF(IFERROR(IF(O24&gt;=$M$1,IF(NETWORKDAYS(N24,$M$1,휴일!$A$2:$A$8)&gt;0,NETWORKDAYS(N24,$M$1,휴일!$A$2:$A$8),""),NETWORKDAYS(N24,O24,휴일!$A$2:$A$8)),"")&lt;0,"",IFERROR(IF(O24&gt;=$M$1,IF(NETWORKDAYS(N24,$M$1,휴일!$A$2:$A$8)&gt;0,NETWORKDAYS(N24,$M$1,휴일!$A$2:$A$8),""),NETWORKDAYS(N24,O24,휴일!$A$2:$A$8)),""))</f>
        <v>0</v>
      </c>
      <c r="T24" s="43">
        <f t="shared" si="2"/>
        <v>0</v>
      </c>
      <c r="U24" s="44">
        <f t="shared" si="3"/>
        <v>0</v>
      </c>
      <c r="V24" s="45">
        <f t="shared" si="4"/>
        <v>0</v>
      </c>
      <c r="W24" s="45">
        <f t="shared" si="1"/>
        <v>0</v>
      </c>
      <c r="X24" s="81"/>
      <c r="Y24" s="82"/>
      <c r="Z24" s="82"/>
      <c r="AA24" s="82"/>
      <c r="AB24" s="83"/>
      <c r="AC24" s="82"/>
      <c r="AD24" s="82"/>
      <c r="AE24" s="82"/>
      <c r="AF24" s="82"/>
      <c r="AG24" s="83"/>
      <c r="AH24" s="84"/>
      <c r="AI24" s="82"/>
      <c r="AJ24" s="82"/>
      <c r="AK24" s="82"/>
      <c r="AL24" s="83"/>
      <c r="AM24" s="82"/>
      <c r="AN24" s="82"/>
      <c r="AO24" s="82"/>
      <c r="AP24" s="82"/>
      <c r="AQ24" s="83"/>
      <c r="AR24" s="82"/>
      <c r="AS24" s="82"/>
      <c r="AT24" s="82"/>
      <c r="AU24" s="82"/>
      <c r="AV24" s="83"/>
      <c r="AW24" s="82"/>
      <c r="AX24" s="82"/>
      <c r="AY24" s="82"/>
      <c r="AZ24" s="82"/>
      <c r="BA24" s="83"/>
      <c r="BB24" s="82"/>
      <c r="BC24" s="82"/>
      <c r="BD24" s="82"/>
      <c r="BE24" s="82"/>
      <c r="BF24" s="83"/>
      <c r="BG24" s="82"/>
      <c r="BH24" s="82"/>
      <c r="BI24" s="82"/>
      <c r="BJ24" s="82"/>
      <c r="BK24" s="85"/>
      <c r="BL24" s="84"/>
      <c r="BM24" s="82"/>
      <c r="BN24" s="82"/>
      <c r="BO24" s="82"/>
      <c r="BP24" s="83"/>
      <c r="BQ24" s="82"/>
      <c r="BR24" s="82"/>
      <c r="BS24" s="82"/>
      <c r="BT24" s="82"/>
      <c r="BU24" s="83"/>
      <c r="BV24" s="82"/>
      <c r="BW24" s="82"/>
      <c r="BX24" s="82"/>
      <c r="BY24" s="82"/>
      <c r="BZ24" s="85"/>
      <c r="CA24" s="82"/>
      <c r="CB24" s="82"/>
      <c r="CC24" s="82"/>
      <c r="CD24" s="82"/>
      <c r="CE24" s="83"/>
      <c r="CF24" s="82"/>
      <c r="CG24" s="82"/>
      <c r="CH24" s="82"/>
      <c r="CI24" s="82"/>
      <c r="CJ24" s="83"/>
      <c r="CK24" s="82"/>
      <c r="CL24" s="82"/>
      <c r="CM24" s="82"/>
      <c r="CN24" s="82"/>
      <c r="CO24" s="83"/>
      <c r="CP24" s="82"/>
      <c r="CQ24" s="82"/>
      <c r="CR24" s="82"/>
      <c r="CS24" s="82"/>
      <c r="CT24" s="83"/>
      <c r="CU24" s="82"/>
      <c r="CV24" s="82"/>
      <c r="CW24" s="82"/>
      <c r="CX24" s="82"/>
      <c r="CY24" s="83"/>
      <c r="CZ24" s="82"/>
      <c r="DA24" s="82"/>
      <c r="DB24" s="84"/>
      <c r="DC24" s="82"/>
      <c r="DD24" s="83"/>
      <c r="DE24" s="82"/>
      <c r="DF24" s="82"/>
      <c r="DG24" s="82"/>
      <c r="DH24" s="82"/>
      <c r="DI24" s="83"/>
      <c r="DJ24" s="82"/>
      <c r="DK24" s="82"/>
      <c r="DL24" s="82"/>
      <c r="DM24" s="82"/>
      <c r="DN24" s="83"/>
      <c r="DO24" s="82"/>
      <c r="DP24" s="82"/>
      <c r="DQ24" s="82"/>
      <c r="DR24" s="82"/>
      <c r="DS24" s="83"/>
      <c r="DT24" s="84"/>
      <c r="DU24" s="82"/>
      <c r="DV24" s="82"/>
      <c r="DW24" s="82"/>
      <c r="DX24" s="83"/>
      <c r="DY24" s="82"/>
      <c r="DZ24" s="82"/>
      <c r="EA24" s="84"/>
      <c r="EB24" s="82"/>
      <c r="EC24" s="83"/>
      <c r="ED24" s="82"/>
      <c r="EE24" s="82"/>
      <c r="EF24" s="82"/>
      <c r="EG24" s="82"/>
      <c r="EH24" s="83"/>
      <c r="EI24" s="82"/>
      <c r="EJ24" s="82"/>
      <c r="EK24" s="82"/>
      <c r="EL24" s="82"/>
      <c r="EM24" s="83"/>
      <c r="EN24" s="82"/>
      <c r="EO24" s="82"/>
      <c r="EP24" s="82"/>
      <c r="EQ24" s="84"/>
      <c r="ER24" s="83"/>
      <c r="ES24" s="82"/>
      <c r="ET24" s="82"/>
      <c r="EU24" s="82"/>
      <c r="EV24" s="82"/>
      <c r="EW24" s="83"/>
      <c r="EX24" s="82"/>
      <c r="EY24" s="82"/>
      <c r="EZ24" s="82"/>
      <c r="FA24" s="82"/>
      <c r="FB24" s="83"/>
      <c r="FC24" s="82"/>
      <c r="FD24" s="82"/>
      <c r="FE24" s="82"/>
      <c r="FF24" s="82"/>
      <c r="FG24" s="82"/>
    </row>
    <row r="25" spans="1:163" ht="19.5" customHeight="1">
      <c r="A25" s="32"/>
      <c r="B25" s="62"/>
      <c r="C25" s="89"/>
      <c r="D25" s="95"/>
      <c r="E25" s="96"/>
      <c r="F25" s="177" t="s">
        <v>75</v>
      </c>
      <c r="G25" s="178"/>
      <c r="H25" s="37" t="s">
        <v>36</v>
      </c>
      <c r="I25" s="88"/>
      <c r="J25" s="88"/>
      <c r="K25" s="88" t="s">
        <v>76</v>
      </c>
      <c r="L25" s="39">
        <v>46325</v>
      </c>
      <c r="M25" s="39">
        <v>46325</v>
      </c>
      <c r="N25" s="123"/>
      <c r="O25" s="124"/>
      <c r="P25" s="38">
        <f>NETWORKDAYS(L25,M25,휴일!$A$2:$A$8)</f>
        <v>1</v>
      </c>
      <c r="Q25" s="41">
        <f>IF(NETWORKDAYS(N25,O25,휴일!$A$2:$A$8)&lt;0,"",NETWORKDAYS(N25,O25,휴일!$A$2:$A$8))</f>
        <v>0</v>
      </c>
      <c r="R25" s="38" t="str">
        <f>IFERROR(IF(M25&gt;=$M$1,IF(NETWORKDAYS(L25,$M$1,휴일!$A$2:$A$8)&gt;0,NETWORKDAYS(L25,$M$1,휴일!$A$2:$A$8),""),NETWORKDAYS(L25,M25,휴일!$A$2:$A$8)),"")</f>
        <v/>
      </c>
      <c r="S25" s="42">
        <f>IF(IFERROR(IF(O25&gt;=$M$1,IF(NETWORKDAYS(N25,$M$1,휴일!$A$2:$A$8)&gt;0,NETWORKDAYS(N25,$M$1,휴일!$A$2:$A$8),""),NETWORKDAYS(N25,O25,휴일!$A$2:$A$8)),"")&lt;0,"",IFERROR(IF(O25&gt;=$M$1,IF(NETWORKDAYS(N25,$M$1,휴일!$A$2:$A$8)&gt;0,NETWORKDAYS(N25,$M$1,휴일!$A$2:$A$8),""),NETWORKDAYS(N25,O25,휴일!$A$2:$A$8)),""))</f>
        <v>0</v>
      </c>
      <c r="T25" s="43">
        <f t="shared" si="2"/>
        <v>0</v>
      </c>
      <c r="U25" s="44">
        <f t="shared" si="3"/>
        <v>0</v>
      </c>
      <c r="V25" s="45">
        <f t="shared" si="4"/>
        <v>0</v>
      </c>
      <c r="W25" s="45">
        <f t="shared" si="1"/>
        <v>0</v>
      </c>
      <c r="X25" s="46"/>
      <c r="Y25" s="46"/>
      <c r="Z25" s="46"/>
      <c r="AA25" s="46"/>
      <c r="AB25" s="56"/>
      <c r="AC25" s="46"/>
      <c r="AD25" s="46"/>
      <c r="AE25" s="46"/>
      <c r="AF25" s="46"/>
      <c r="AG25" s="56"/>
      <c r="AH25" s="49"/>
      <c r="AI25" s="46"/>
      <c r="AJ25" s="46"/>
      <c r="AK25" s="46"/>
      <c r="AL25" s="56"/>
      <c r="AM25" s="46"/>
      <c r="AN25" s="46"/>
      <c r="AO25" s="46"/>
      <c r="AP25" s="46"/>
      <c r="AQ25" s="56"/>
      <c r="AR25" s="46"/>
      <c r="AS25" s="46"/>
      <c r="AT25" s="46"/>
      <c r="AU25" s="46"/>
      <c r="AV25" s="56"/>
      <c r="AW25" s="46"/>
      <c r="AX25" s="46"/>
      <c r="AY25" s="46"/>
      <c r="AZ25" s="46"/>
      <c r="BA25" s="56"/>
      <c r="BB25" s="46"/>
      <c r="BC25" s="46"/>
      <c r="BD25" s="46"/>
      <c r="BE25" s="46"/>
      <c r="BF25" s="56"/>
      <c r="BG25" s="46"/>
      <c r="BH25" s="46"/>
      <c r="BI25" s="46"/>
      <c r="BJ25" s="46"/>
      <c r="BK25" s="57"/>
      <c r="BL25" s="49"/>
      <c r="BM25" s="46"/>
      <c r="BN25" s="46"/>
      <c r="BO25" s="46"/>
      <c r="BP25" s="56"/>
      <c r="BQ25" s="46"/>
      <c r="BR25" s="46"/>
      <c r="BS25" s="46"/>
      <c r="BT25" s="46"/>
      <c r="BU25" s="56"/>
      <c r="BV25" s="46"/>
      <c r="BW25" s="46"/>
      <c r="BX25" s="46"/>
      <c r="BY25" s="46"/>
      <c r="BZ25" s="57"/>
      <c r="CA25" s="46"/>
      <c r="CB25" s="46"/>
      <c r="CC25" s="46"/>
      <c r="CD25" s="46"/>
      <c r="CE25" s="56"/>
      <c r="CF25" s="46"/>
      <c r="CG25" s="46"/>
      <c r="CH25" s="46"/>
      <c r="CI25" s="46"/>
      <c r="CJ25" s="56"/>
      <c r="CK25" s="46"/>
      <c r="CL25" s="46"/>
      <c r="CM25" s="46"/>
      <c r="CN25" s="46"/>
      <c r="CO25" s="56"/>
      <c r="CP25" s="46"/>
      <c r="CQ25" s="46"/>
      <c r="CR25" s="46"/>
      <c r="CS25" s="46"/>
      <c r="CT25" s="56"/>
      <c r="CU25" s="46"/>
      <c r="CV25" s="46"/>
      <c r="CW25" s="46"/>
      <c r="CX25" s="46"/>
      <c r="CY25" s="56"/>
      <c r="CZ25" s="46"/>
      <c r="DA25" s="46"/>
      <c r="DB25" s="49"/>
      <c r="DC25" s="46"/>
      <c r="DD25" s="56"/>
      <c r="DE25" s="46"/>
      <c r="DF25" s="46"/>
      <c r="DG25" s="46"/>
      <c r="DH25" s="46"/>
      <c r="DI25" s="56"/>
      <c r="DJ25" s="46"/>
      <c r="DK25" s="46"/>
      <c r="DL25" s="46"/>
      <c r="DM25" s="46"/>
      <c r="DN25" s="56"/>
      <c r="DO25" s="46"/>
      <c r="DP25" s="46"/>
      <c r="DQ25" s="46"/>
      <c r="DR25" s="46"/>
      <c r="DS25" s="56"/>
      <c r="DT25" s="49"/>
      <c r="DU25" s="46"/>
      <c r="DV25" s="46"/>
      <c r="DW25" s="46"/>
      <c r="DX25" s="56"/>
      <c r="DY25" s="46"/>
      <c r="DZ25" s="46"/>
      <c r="EA25" s="49"/>
      <c r="EB25" s="46"/>
      <c r="EC25" s="56"/>
      <c r="ED25" s="46"/>
      <c r="EE25" s="46"/>
      <c r="EF25" s="46"/>
      <c r="EG25" s="46"/>
      <c r="EH25" s="56"/>
      <c r="EI25" s="46"/>
      <c r="EJ25" s="46"/>
      <c r="EK25" s="46"/>
      <c r="EL25" s="46"/>
      <c r="EM25" s="56"/>
      <c r="EN25" s="46"/>
      <c r="EO25" s="46"/>
      <c r="EP25" s="46"/>
      <c r="EQ25" s="49"/>
      <c r="ER25" s="56"/>
      <c r="ES25" s="46"/>
      <c r="ET25" s="46"/>
      <c r="EU25" s="46"/>
      <c r="EV25" s="46"/>
      <c r="EW25" s="56"/>
      <c r="EX25" s="46"/>
      <c r="EY25" s="46"/>
      <c r="EZ25" s="46"/>
      <c r="FA25" s="46"/>
      <c r="FB25" s="56"/>
      <c r="FC25" s="46"/>
      <c r="FD25" s="46"/>
      <c r="FE25" s="46"/>
      <c r="FF25" s="46"/>
      <c r="FG25" s="46"/>
    </row>
    <row r="26" spans="1:163" ht="19.5" customHeight="1">
      <c r="A26" s="32"/>
      <c r="B26" s="62"/>
      <c r="C26" s="89"/>
      <c r="D26" s="95"/>
      <c r="E26" s="96"/>
      <c r="F26" s="186" t="s">
        <v>77</v>
      </c>
      <c r="G26" s="176"/>
      <c r="H26" s="90" t="s">
        <v>43</v>
      </c>
      <c r="I26" s="91"/>
      <c r="J26" s="91"/>
      <c r="K26" s="91" t="s">
        <v>78</v>
      </c>
      <c r="L26" s="39">
        <v>46325</v>
      </c>
      <c r="M26" s="39">
        <v>46325</v>
      </c>
      <c r="N26" s="39"/>
      <c r="O26" s="39"/>
      <c r="P26" s="40">
        <f>NETWORKDAYS(L26,M26,휴일!$A$2:$A$8)</f>
        <v>1</v>
      </c>
      <c r="Q26" s="41">
        <f>IF(NETWORKDAYS(N26,O26,휴일!$A$2:$A$8)&lt;0,"",NETWORKDAYS(N26,O26,휴일!$A$2:$A$8))</f>
        <v>0</v>
      </c>
      <c r="R26" s="38" t="str">
        <f>IFERROR(IF(M26&gt;=$M$1,IF(NETWORKDAYS(L26,$M$1,휴일!$A$2:$A$8)&gt;0,NETWORKDAYS(L26,$M$1,휴일!$A$2:$A$8),""),NETWORKDAYS(L26,M26,휴일!$A$2:$A$8)),"")</f>
        <v/>
      </c>
      <c r="S26" s="42">
        <f>IF(IFERROR(IF(O26&gt;=$M$1,IF(NETWORKDAYS(N26,$M$1,휴일!$A$2:$A$8)&gt;0,NETWORKDAYS(N26,$M$1,휴일!$A$2:$A$8),""),NETWORKDAYS(N26,O26,휴일!$A$2:$A$8)),"")&lt;0,"",IFERROR(IF(O26&gt;=$M$1,IF(NETWORKDAYS(N26,$M$1,휴일!$A$2:$A$8)&gt;0,NETWORKDAYS(N26,$M$1,휴일!$A$2:$A$8),""),NETWORKDAYS(N26,O26,휴일!$A$2:$A$8)),""))</f>
        <v>0</v>
      </c>
      <c r="T26" s="43">
        <f t="shared" si="2"/>
        <v>0</v>
      </c>
      <c r="U26" s="44">
        <f t="shared" si="3"/>
        <v>0</v>
      </c>
      <c r="V26" s="45">
        <f t="shared" si="4"/>
        <v>0</v>
      </c>
      <c r="W26" s="45">
        <f t="shared" si="1"/>
        <v>0</v>
      </c>
      <c r="X26" s="46"/>
      <c r="Y26" s="64"/>
      <c r="Z26" s="64"/>
      <c r="AA26" s="64"/>
      <c r="AB26" s="65"/>
      <c r="AC26" s="64"/>
      <c r="AD26" s="64"/>
      <c r="AE26" s="64"/>
      <c r="AF26" s="64"/>
      <c r="AG26" s="65"/>
      <c r="AH26" s="66"/>
      <c r="AI26" s="64"/>
      <c r="AJ26" s="64"/>
      <c r="AK26" s="64"/>
      <c r="AL26" s="65"/>
      <c r="AM26" s="64"/>
      <c r="AN26" s="64"/>
      <c r="AO26" s="64"/>
      <c r="AP26" s="64"/>
      <c r="AQ26" s="65"/>
      <c r="AR26" s="64"/>
      <c r="AS26" s="64"/>
      <c r="AT26" s="64"/>
      <c r="AU26" s="64"/>
      <c r="AV26" s="65"/>
      <c r="AW26" s="64"/>
      <c r="AX26" s="64"/>
      <c r="AY26" s="64"/>
      <c r="AZ26" s="64"/>
      <c r="BA26" s="65"/>
      <c r="BB26" s="64"/>
      <c r="BC26" s="64"/>
      <c r="BD26" s="64"/>
      <c r="BE26" s="64"/>
      <c r="BF26" s="65"/>
      <c r="BG26" s="64"/>
      <c r="BH26" s="64"/>
      <c r="BI26" s="64"/>
      <c r="BJ26" s="64"/>
      <c r="BK26" s="67"/>
      <c r="BL26" s="66"/>
      <c r="BM26" s="64"/>
      <c r="BN26" s="64"/>
      <c r="BO26" s="64"/>
      <c r="BP26" s="65"/>
      <c r="BQ26" s="64"/>
      <c r="BR26" s="64"/>
      <c r="BS26" s="64"/>
      <c r="BT26" s="64"/>
      <c r="BU26" s="65"/>
      <c r="BV26" s="64"/>
      <c r="BW26" s="64"/>
      <c r="BX26" s="64"/>
      <c r="BY26" s="64"/>
      <c r="BZ26" s="67"/>
      <c r="CA26" s="64"/>
      <c r="CB26" s="64"/>
      <c r="CC26" s="64"/>
      <c r="CD26" s="64"/>
      <c r="CE26" s="65"/>
      <c r="CF26" s="64"/>
      <c r="CG26" s="64"/>
      <c r="CH26" s="64"/>
      <c r="CI26" s="64"/>
      <c r="CJ26" s="65"/>
      <c r="CK26" s="64"/>
      <c r="CL26" s="64"/>
      <c r="CM26" s="64"/>
      <c r="CN26" s="64"/>
      <c r="CO26" s="65"/>
      <c r="CP26" s="64"/>
      <c r="CQ26" s="64"/>
      <c r="CR26" s="64"/>
      <c r="CS26" s="64"/>
      <c r="CT26" s="65"/>
      <c r="CU26" s="64"/>
      <c r="CV26" s="64"/>
      <c r="CW26" s="64"/>
      <c r="CX26" s="64"/>
      <c r="CY26" s="65"/>
      <c r="CZ26" s="64"/>
      <c r="DA26" s="64"/>
      <c r="DB26" s="66"/>
      <c r="DC26" s="64"/>
      <c r="DD26" s="65"/>
      <c r="DE26" s="64"/>
      <c r="DF26" s="64"/>
      <c r="DG26" s="64"/>
      <c r="DH26" s="64"/>
      <c r="DI26" s="65"/>
      <c r="DJ26" s="64"/>
      <c r="DK26" s="64"/>
      <c r="DL26" s="64"/>
      <c r="DM26" s="64"/>
      <c r="DN26" s="65"/>
      <c r="DO26" s="64"/>
      <c r="DP26" s="64"/>
      <c r="DQ26" s="64"/>
      <c r="DR26" s="64"/>
      <c r="DS26" s="65"/>
      <c r="DT26" s="66"/>
      <c r="DU26" s="64"/>
      <c r="DV26" s="64"/>
      <c r="DW26" s="64"/>
      <c r="DX26" s="65"/>
      <c r="DY26" s="64"/>
      <c r="DZ26" s="64"/>
      <c r="EA26" s="66"/>
      <c r="EB26" s="64"/>
      <c r="EC26" s="65"/>
      <c r="ED26" s="64"/>
      <c r="EE26" s="64"/>
      <c r="EF26" s="64"/>
      <c r="EG26" s="64"/>
      <c r="EH26" s="65"/>
      <c r="EI26" s="64"/>
      <c r="EJ26" s="64"/>
      <c r="EK26" s="64"/>
      <c r="EL26" s="64"/>
      <c r="EM26" s="65"/>
      <c r="EN26" s="64"/>
      <c r="EO26" s="64"/>
      <c r="EP26" s="64"/>
      <c r="EQ26" s="66"/>
      <c r="ER26" s="65"/>
      <c r="ES26" s="64"/>
      <c r="ET26" s="64"/>
      <c r="EU26" s="64"/>
      <c r="EV26" s="64"/>
      <c r="EW26" s="65"/>
      <c r="EX26" s="64"/>
      <c r="EY26" s="64"/>
      <c r="EZ26" s="64"/>
      <c r="FA26" s="64"/>
      <c r="FB26" s="65"/>
      <c r="FC26" s="64"/>
      <c r="FD26" s="64"/>
      <c r="FE26" s="64"/>
      <c r="FF26" s="64"/>
      <c r="FG26" s="64"/>
    </row>
    <row r="27" spans="1:163" ht="19.5" customHeight="1">
      <c r="A27" s="32"/>
      <c r="B27" s="62"/>
      <c r="C27" s="89"/>
      <c r="D27" s="95"/>
      <c r="E27" s="96"/>
      <c r="F27" s="186" t="s">
        <v>79</v>
      </c>
      <c r="G27" s="176"/>
      <c r="H27" s="90" t="s">
        <v>36</v>
      </c>
      <c r="I27" s="91" t="s">
        <v>43</v>
      </c>
      <c r="J27" s="91"/>
      <c r="K27" s="91" t="s">
        <v>80</v>
      </c>
      <c r="L27" s="39">
        <v>46325</v>
      </c>
      <c r="M27" s="39">
        <v>46328</v>
      </c>
      <c r="N27" s="39"/>
      <c r="O27" s="39"/>
      <c r="P27" s="40">
        <f>NETWORKDAYS(L27,M27,휴일!$A$2:$A$8)</f>
        <v>2</v>
      </c>
      <c r="Q27" s="41">
        <f>IF(NETWORKDAYS(N27,O27,휴일!$A$2:$A$8)&lt;0,"",NETWORKDAYS(N27,O27,휴일!$A$2:$A$8))</f>
        <v>0</v>
      </c>
      <c r="R27" s="38" t="str">
        <f>IFERROR(IF(M27&gt;=$M$1,IF(NETWORKDAYS(L27,$M$1,휴일!$A$2:$A$8)&gt;0,NETWORKDAYS(L27,$M$1,휴일!$A$2:$A$8),""),NETWORKDAYS(L27,M27,휴일!$A$2:$A$8)),"")</f>
        <v/>
      </c>
      <c r="S27" s="42">
        <f>IF(IFERROR(IF(O27&gt;=$M$1,IF(NETWORKDAYS(N27,$M$1,휴일!$A$2:$A$8)&gt;0,NETWORKDAYS(N27,$M$1,휴일!$A$2:$A$8),""),NETWORKDAYS(N27,O27,휴일!$A$2:$A$8)),"")&lt;0,"",IFERROR(IF(O27&gt;=$M$1,IF(NETWORKDAYS(N27,$M$1,휴일!$A$2:$A$8)&gt;0,NETWORKDAYS(N27,$M$1,휴일!$A$2:$A$8),""),NETWORKDAYS(N27,O27,휴일!$A$2:$A$8)),""))</f>
        <v>0</v>
      </c>
      <c r="T27" s="43">
        <f t="shared" si="2"/>
        <v>0</v>
      </c>
      <c r="U27" s="44">
        <f t="shared" si="3"/>
        <v>0</v>
      </c>
      <c r="V27" s="45">
        <f t="shared" si="4"/>
        <v>0</v>
      </c>
      <c r="W27" s="45">
        <f t="shared" si="1"/>
        <v>0</v>
      </c>
      <c r="X27" s="46"/>
      <c r="Y27" s="64"/>
      <c r="Z27" s="64"/>
      <c r="AA27" s="64"/>
      <c r="AB27" s="65"/>
      <c r="AC27" s="64"/>
      <c r="AD27" s="64"/>
      <c r="AE27" s="64"/>
      <c r="AF27" s="64"/>
      <c r="AG27" s="65"/>
      <c r="AH27" s="66"/>
      <c r="AI27" s="64"/>
      <c r="AJ27" s="64"/>
      <c r="AK27" s="64"/>
      <c r="AL27" s="65"/>
      <c r="AM27" s="64"/>
      <c r="AN27" s="64"/>
      <c r="AO27" s="64"/>
      <c r="AP27" s="64"/>
      <c r="AQ27" s="65"/>
      <c r="AR27" s="64"/>
      <c r="AS27" s="64"/>
      <c r="AT27" s="64"/>
      <c r="AU27" s="64"/>
      <c r="AV27" s="65"/>
      <c r="AW27" s="64"/>
      <c r="AX27" s="64"/>
      <c r="AY27" s="64"/>
      <c r="AZ27" s="64"/>
      <c r="BA27" s="65"/>
      <c r="BB27" s="64"/>
      <c r="BC27" s="64"/>
      <c r="BD27" s="64"/>
      <c r="BE27" s="64"/>
      <c r="BF27" s="65"/>
      <c r="BG27" s="64"/>
      <c r="BH27" s="64"/>
      <c r="BI27" s="64"/>
      <c r="BJ27" s="64"/>
      <c r="BK27" s="67"/>
      <c r="BL27" s="66"/>
      <c r="BM27" s="64"/>
      <c r="BN27" s="64"/>
      <c r="BO27" s="64"/>
      <c r="BP27" s="65"/>
      <c r="BQ27" s="64"/>
      <c r="BR27" s="64"/>
      <c r="BS27" s="64"/>
      <c r="BT27" s="64"/>
      <c r="BU27" s="65"/>
      <c r="BV27" s="64"/>
      <c r="BW27" s="64"/>
      <c r="BX27" s="64"/>
      <c r="BY27" s="64"/>
      <c r="BZ27" s="67"/>
      <c r="CA27" s="64"/>
      <c r="CB27" s="64"/>
      <c r="CC27" s="64"/>
      <c r="CD27" s="64"/>
      <c r="CE27" s="65"/>
      <c r="CF27" s="64"/>
      <c r="CG27" s="64"/>
      <c r="CH27" s="64"/>
      <c r="CI27" s="64"/>
      <c r="CJ27" s="65"/>
      <c r="CK27" s="64"/>
      <c r="CL27" s="64"/>
      <c r="CM27" s="64"/>
      <c r="CN27" s="64"/>
      <c r="CO27" s="65"/>
      <c r="CP27" s="64"/>
      <c r="CQ27" s="64"/>
      <c r="CR27" s="64"/>
      <c r="CS27" s="64"/>
      <c r="CT27" s="65"/>
      <c r="CU27" s="64"/>
      <c r="CV27" s="64"/>
      <c r="CW27" s="64"/>
      <c r="CX27" s="64"/>
      <c r="CY27" s="65"/>
      <c r="CZ27" s="64"/>
      <c r="DA27" s="64"/>
      <c r="DB27" s="66"/>
      <c r="DC27" s="64"/>
      <c r="DD27" s="65"/>
      <c r="DE27" s="64"/>
      <c r="DF27" s="64"/>
      <c r="DG27" s="64"/>
      <c r="DH27" s="64"/>
      <c r="DI27" s="65"/>
      <c r="DJ27" s="64"/>
      <c r="DK27" s="64"/>
      <c r="DL27" s="64"/>
      <c r="DM27" s="64"/>
      <c r="DN27" s="65"/>
      <c r="DO27" s="64"/>
      <c r="DP27" s="64"/>
      <c r="DQ27" s="64"/>
      <c r="DR27" s="64"/>
      <c r="DS27" s="65"/>
      <c r="DT27" s="66"/>
      <c r="DU27" s="64"/>
      <c r="DV27" s="64"/>
      <c r="DW27" s="64"/>
      <c r="DX27" s="65"/>
      <c r="DY27" s="64"/>
      <c r="DZ27" s="64"/>
      <c r="EA27" s="66"/>
      <c r="EB27" s="64"/>
      <c r="EC27" s="65"/>
      <c r="ED27" s="64"/>
      <c r="EE27" s="64"/>
      <c r="EF27" s="64"/>
      <c r="EG27" s="64"/>
      <c r="EH27" s="65"/>
      <c r="EI27" s="64"/>
      <c r="EJ27" s="64"/>
      <c r="EK27" s="64"/>
      <c r="EL27" s="64"/>
      <c r="EM27" s="65"/>
      <c r="EN27" s="64"/>
      <c r="EO27" s="64"/>
      <c r="EP27" s="64"/>
      <c r="EQ27" s="66"/>
      <c r="ER27" s="65"/>
      <c r="ES27" s="64"/>
      <c r="ET27" s="64"/>
      <c r="EU27" s="64"/>
      <c r="EV27" s="64"/>
      <c r="EW27" s="65"/>
      <c r="EX27" s="64"/>
      <c r="EY27" s="64"/>
      <c r="EZ27" s="64"/>
      <c r="FA27" s="64"/>
      <c r="FB27" s="65"/>
      <c r="FC27" s="64"/>
      <c r="FD27" s="64"/>
      <c r="FE27" s="64"/>
      <c r="FF27" s="64"/>
      <c r="FG27" s="64"/>
    </row>
    <row r="28" spans="1:163" ht="19.5" customHeight="1">
      <c r="A28" s="32"/>
      <c r="B28" s="62"/>
      <c r="C28" s="89"/>
      <c r="D28" s="95"/>
      <c r="E28" s="96"/>
      <c r="F28" s="175" t="s">
        <v>81</v>
      </c>
      <c r="G28" s="176"/>
      <c r="H28" s="125" t="s">
        <v>43</v>
      </c>
      <c r="I28" s="98"/>
      <c r="J28" s="98"/>
      <c r="K28" s="98" t="s">
        <v>82</v>
      </c>
      <c r="L28" s="39">
        <v>46328</v>
      </c>
      <c r="M28" s="39">
        <v>46328</v>
      </c>
      <c r="N28" s="39"/>
      <c r="O28" s="39"/>
      <c r="P28" s="40">
        <f>NETWORKDAYS(L28,M28,휴일!$A$2:$A$8)</f>
        <v>1</v>
      </c>
      <c r="Q28" s="41">
        <f>IF(NETWORKDAYS(N28,O28,휴일!$A$2:$A$8)&lt;0,"",NETWORKDAYS(N28,O28,휴일!$A$2:$A$8))</f>
        <v>0</v>
      </c>
      <c r="R28" s="38" t="str">
        <f>IFERROR(IF(M28&gt;=$M$1,IF(NETWORKDAYS(L28,$M$1,휴일!$A$2:$A$8)&gt;0,NETWORKDAYS(L28,$M$1,휴일!$A$2:$A$8),""),NETWORKDAYS(L28,M28,휴일!$A$2:$A$8)),"")</f>
        <v/>
      </c>
      <c r="S28" s="42">
        <f>IF(IFERROR(IF(O28&gt;=$M$1,IF(NETWORKDAYS(N28,$M$1,휴일!$A$2:$A$8)&gt;0,NETWORKDAYS(N28,$M$1,휴일!$A$2:$A$8),""),NETWORKDAYS(N28,O28,휴일!$A$2:$A$8)),"")&lt;0,"",IFERROR(IF(O28&gt;=$M$1,IF(NETWORKDAYS(N28,$M$1,휴일!$A$2:$A$8)&gt;0,NETWORKDAYS(N28,$M$1,휴일!$A$2:$A$8),""),NETWORKDAYS(N28,O28,휴일!$A$2:$A$8)),""))</f>
        <v>0</v>
      </c>
      <c r="T28" s="43">
        <f t="shared" si="2"/>
        <v>0</v>
      </c>
      <c r="U28" s="44">
        <f t="shared" si="3"/>
        <v>0</v>
      </c>
      <c r="V28" s="45">
        <f t="shared" si="4"/>
        <v>0</v>
      </c>
      <c r="W28" s="45">
        <f t="shared" si="1"/>
        <v>0</v>
      </c>
      <c r="X28" s="46"/>
      <c r="Y28" s="64"/>
      <c r="Z28" s="64"/>
      <c r="AA28" s="64"/>
      <c r="AB28" s="65"/>
      <c r="AC28" s="64"/>
      <c r="AD28" s="64"/>
      <c r="AE28" s="64"/>
      <c r="AF28" s="64"/>
      <c r="AG28" s="65"/>
      <c r="AH28" s="66"/>
      <c r="AI28" s="64"/>
      <c r="AJ28" s="64"/>
      <c r="AK28" s="64"/>
      <c r="AL28" s="65"/>
      <c r="AM28" s="64"/>
      <c r="AN28" s="64"/>
      <c r="AO28" s="64"/>
      <c r="AP28" s="64"/>
      <c r="AQ28" s="65"/>
      <c r="AR28" s="64"/>
      <c r="AS28" s="64"/>
      <c r="AT28" s="64"/>
      <c r="AU28" s="64"/>
      <c r="AV28" s="65"/>
      <c r="AW28" s="64"/>
      <c r="AX28" s="64"/>
      <c r="AY28" s="64"/>
      <c r="AZ28" s="64"/>
      <c r="BA28" s="65"/>
      <c r="BB28" s="64"/>
      <c r="BC28" s="64"/>
      <c r="BD28" s="64"/>
      <c r="BE28" s="64"/>
      <c r="BF28" s="65"/>
      <c r="BG28" s="64"/>
      <c r="BH28" s="64"/>
      <c r="BI28" s="64"/>
      <c r="BJ28" s="64"/>
      <c r="BK28" s="67"/>
      <c r="BL28" s="66"/>
      <c r="BM28" s="64"/>
      <c r="BN28" s="64"/>
      <c r="BO28" s="64"/>
      <c r="BP28" s="65"/>
      <c r="BQ28" s="64"/>
      <c r="BR28" s="64"/>
      <c r="BS28" s="64"/>
      <c r="BT28" s="64"/>
      <c r="BU28" s="65"/>
      <c r="BV28" s="64"/>
      <c r="BW28" s="64"/>
      <c r="BX28" s="64"/>
      <c r="BY28" s="64"/>
      <c r="BZ28" s="67"/>
      <c r="CA28" s="64"/>
      <c r="CB28" s="64"/>
      <c r="CC28" s="64"/>
      <c r="CD28" s="64"/>
      <c r="CE28" s="65"/>
      <c r="CF28" s="64"/>
      <c r="CG28" s="64"/>
      <c r="CH28" s="64"/>
      <c r="CI28" s="64"/>
      <c r="CJ28" s="65"/>
      <c r="CK28" s="64"/>
      <c r="CL28" s="64"/>
      <c r="CM28" s="64"/>
      <c r="CN28" s="64"/>
      <c r="CO28" s="65"/>
      <c r="CP28" s="64"/>
      <c r="CQ28" s="64"/>
      <c r="CR28" s="64"/>
      <c r="CS28" s="64"/>
      <c r="CT28" s="65"/>
      <c r="CU28" s="64"/>
      <c r="CV28" s="64"/>
      <c r="CW28" s="64"/>
      <c r="CX28" s="64"/>
      <c r="CY28" s="65"/>
      <c r="CZ28" s="64"/>
      <c r="DA28" s="64"/>
      <c r="DB28" s="66"/>
      <c r="DC28" s="64"/>
      <c r="DD28" s="65"/>
      <c r="DE28" s="64"/>
      <c r="DF28" s="64"/>
      <c r="DG28" s="64"/>
      <c r="DH28" s="64"/>
      <c r="DI28" s="65"/>
      <c r="DJ28" s="64"/>
      <c r="DK28" s="64"/>
      <c r="DL28" s="64"/>
      <c r="DM28" s="64"/>
      <c r="DN28" s="65"/>
      <c r="DO28" s="64"/>
      <c r="DP28" s="64"/>
      <c r="DQ28" s="64"/>
      <c r="DR28" s="64"/>
      <c r="DS28" s="65"/>
      <c r="DT28" s="66"/>
      <c r="DU28" s="64"/>
      <c r="DV28" s="64"/>
      <c r="DW28" s="64"/>
      <c r="DX28" s="65"/>
      <c r="DY28" s="64"/>
      <c r="DZ28" s="64"/>
      <c r="EA28" s="66"/>
      <c r="EB28" s="64"/>
      <c r="EC28" s="65"/>
      <c r="ED28" s="64"/>
      <c r="EE28" s="64"/>
      <c r="EF28" s="64"/>
      <c r="EG28" s="64"/>
      <c r="EH28" s="65"/>
      <c r="EI28" s="64"/>
      <c r="EJ28" s="64"/>
      <c r="EK28" s="64"/>
      <c r="EL28" s="64"/>
      <c r="EM28" s="65"/>
      <c r="EN28" s="64"/>
      <c r="EO28" s="64"/>
      <c r="EP28" s="64"/>
      <c r="EQ28" s="66"/>
      <c r="ER28" s="65"/>
      <c r="ES28" s="64"/>
      <c r="ET28" s="64"/>
      <c r="EU28" s="64"/>
      <c r="EV28" s="64"/>
      <c r="EW28" s="65"/>
      <c r="EX28" s="64"/>
      <c r="EY28" s="64"/>
      <c r="EZ28" s="64"/>
      <c r="FA28" s="64"/>
      <c r="FB28" s="65"/>
      <c r="FC28" s="64"/>
      <c r="FD28" s="64"/>
      <c r="FE28" s="64"/>
      <c r="FF28" s="64"/>
      <c r="FG28" s="64"/>
    </row>
    <row r="29" spans="1:163" ht="19.5" customHeight="1">
      <c r="A29" s="32"/>
      <c r="B29" s="62"/>
      <c r="C29" s="89"/>
      <c r="D29" s="95"/>
      <c r="E29" s="96"/>
      <c r="F29" s="175" t="s">
        <v>83</v>
      </c>
      <c r="G29" s="176"/>
      <c r="H29" s="125" t="s">
        <v>36</v>
      </c>
      <c r="I29" s="98"/>
      <c r="J29" s="98"/>
      <c r="K29" s="98" t="s">
        <v>84</v>
      </c>
      <c r="L29" s="39">
        <v>46328</v>
      </c>
      <c r="M29" s="124">
        <v>46328</v>
      </c>
      <c r="N29" s="123"/>
      <c r="O29" s="124"/>
      <c r="P29" s="40">
        <f>NETWORKDAYS(L29,M29,휴일!$A$2:$A$8)</f>
        <v>1</v>
      </c>
      <c r="Q29" s="41">
        <f>IF(NETWORKDAYS(N29,O29,휴일!$A$2:$A$8)&lt;0,"",NETWORKDAYS(N29,O29,휴일!$A$2:$A$8))</f>
        <v>0</v>
      </c>
      <c r="R29" s="38" t="str">
        <f>IFERROR(IF(M29&gt;=$M$1,IF(NETWORKDAYS(L29,$M$1,휴일!$A$2:$A$8)&gt;0,NETWORKDAYS(L29,$M$1,휴일!$A$2:$A$8),""),NETWORKDAYS(L29,M29,휴일!$A$2:$A$8)),"")</f>
        <v/>
      </c>
      <c r="S29" s="42">
        <f>IF(IFERROR(IF(O29&gt;=$M$1,IF(NETWORKDAYS(N29,$M$1,휴일!$A$2:$A$8)&gt;0,NETWORKDAYS(N29,$M$1,휴일!$A$2:$A$8),""),NETWORKDAYS(N29,O29,휴일!$A$2:$A$8)),"")&lt;0,"",IFERROR(IF(O29&gt;=$M$1,IF(NETWORKDAYS(N29,$M$1,휴일!$A$2:$A$8)&gt;0,NETWORKDAYS(N29,$M$1,휴일!$A$2:$A$8),""),NETWORKDAYS(N29,O29,휴일!$A$2:$A$8)),""))</f>
        <v>0</v>
      </c>
      <c r="T29" s="43">
        <f t="shared" si="2"/>
        <v>0</v>
      </c>
      <c r="U29" s="44">
        <f t="shared" si="3"/>
        <v>0</v>
      </c>
      <c r="V29" s="45">
        <f t="shared" si="4"/>
        <v>0</v>
      </c>
      <c r="W29" s="45">
        <f t="shared" si="1"/>
        <v>0</v>
      </c>
      <c r="X29" s="46"/>
      <c r="Y29" s="64"/>
      <c r="Z29" s="64"/>
      <c r="AA29" s="64"/>
      <c r="AB29" s="65"/>
      <c r="AC29" s="64"/>
      <c r="AD29" s="64"/>
      <c r="AE29" s="64"/>
      <c r="AF29" s="64"/>
      <c r="AG29" s="65"/>
      <c r="AH29" s="66"/>
      <c r="AI29" s="64"/>
      <c r="AJ29" s="64"/>
      <c r="AK29" s="64"/>
      <c r="AL29" s="65"/>
      <c r="AM29" s="64"/>
      <c r="AN29" s="64"/>
      <c r="AO29" s="64"/>
      <c r="AP29" s="64"/>
      <c r="AQ29" s="65"/>
      <c r="AR29" s="64"/>
      <c r="AS29" s="64"/>
      <c r="AT29" s="64"/>
      <c r="AU29" s="64"/>
      <c r="AV29" s="65"/>
      <c r="AW29" s="64"/>
      <c r="AX29" s="64"/>
      <c r="AY29" s="64"/>
      <c r="AZ29" s="64"/>
      <c r="BA29" s="65"/>
      <c r="BB29" s="64"/>
      <c r="BC29" s="64"/>
      <c r="BD29" s="64"/>
      <c r="BE29" s="64"/>
      <c r="BF29" s="65"/>
      <c r="BG29" s="64"/>
      <c r="BH29" s="64"/>
      <c r="BI29" s="64"/>
      <c r="BJ29" s="64"/>
      <c r="BK29" s="67"/>
      <c r="BL29" s="66"/>
      <c r="BM29" s="64"/>
      <c r="BN29" s="64"/>
      <c r="BO29" s="64"/>
      <c r="BP29" s="65"/>
      <c r="BQ29" s="64"/>
      <c r="BR29" s="64"/>
      <c r="BS29" s="64"/>
      <c r="BT29" s="64"/>
      <c r="BU29" s="65"/>
      <c r="BV29" s="64"/>
      <c r="BW29" s="64"/>
      <c r="BX29" s="64"/>
      <c r="BY29" s="64"/>
      <c r="BZ29" s="67"/>
      <c r="CA29" s="64"/>
      <c r="CB29" s="64"/>
      <c r="CC29" s="64"/>
      <c r="CD29" s="64"/>
      <c r="CE29" s="65"/>
      <c r="CF29" s="64"/>
      <c r="CG29" s="64"/>
      <c r="CH29" s="64"/>
      <c r="CI29" s="64"/>
      <c r="CJ29" s="65"/>
      <c r="CK29" s="64"/>
      <c r="CL29" s="64"/>
      <c r="CM29" s="64"/>
      <c r="CN29" s="64"/>
      <c r="CO29" s="65"/>
      <c r="CP29" s="64"/>
      <c r="CQ29" s="64"/>
      <c r="CR29" s="64"/>
      <c r="CS29" s="64"/>
      <c r="CT29" s="65"/>
      <c r="CU29" s="64"/>
      <c r="CV29" s="64"/>
      <c r="CW29" s="64"/>
      <c r="CX29" s="64"/>
      <c r="CY29" s="65"/>
      <c r="CZ29" s="64"/>
      <c r="DA29" s="64"/>
      <c r="DB29" s="66"/>
      <c r="DC29" s="64"/>
      <c r="DD29" s="65"/>
      <c r="DE29" s="64"/>
      <c r="DF29" s="64"/>
      <c r="DG29" s="64"/>
      <c r="DH29" s="64"/>
      <c r="DI29" s="65"/>
      <c r="DJ29" s="64"/>
      <c r="DK29" s="64"/>
      <c r="DL29" s="64"/>
      <c r="DM29" s="64"/>
      <c r="DN29" s="65"/>
      <c r="DO29" s="64"/>
      <c r="DP29" s="64"/>
      <c r="DQ29" s="64"/>
      <c r="DR29" s="64"/>
      <c r="DS29" s="65"/>
      <c r="DT29" s="66"/>
      <c r="DU29" s="64"/>
      <c r="DV29" s="64"/>
      <c r="DW29" s="64"/>
      <c r="DX29" s="65"/>
      <c r="DY29" s="64"/>
      <c r="DZ29" s="64"/>
      <c r="EA29" s="66"/>
      <c r="EB29" s="64"/>
      <c r="EC29" s="65"/>
      <c r="ED29" s="64"/>
      <c r="EE29" s="64"/>
      <c r="EF29" s="64"/>
      <c r="EG29" s="64"/>
      <c r="EH29" s="65"/>
      <c r="EI29" s="64"/>
      <c r="EJ29" s="64"/>
      <c r="EK29" s="64"/>
      <c r="EL29" s="64"/>
      <c r="EM29" s="65"/>
      <c r="EN29" s="64"/>
      <c r="EO29" s="64"/>
      <c r="EP29" s="64"/>
      <c r="EQ29" s="66"/>
      <c r="ER29" s="65"/>
      <c r="ES29" s="64"/>
      <c r="ET29" s="64"/>
      <c r="EU29" s="64"/>
      <c r="EV29" s="64"/>
      <c r="EW29" s="65"/>
      <c r="EX29" s="64"/>
      <c r="EY29" s="64"/>
      <c r="EZ29" s="64"/>
      <c r="FA29" s="64"/>
      <c r="FB29" s="65"/>
      <c r="FC29" s="64"/>
      <c r="FD29" s="64"/>
      <c r="FE29" s="64"/>
      <c r="FF29" s="64"/>
      <c r="FG29" s="64"/>
    </row>
    <row r="30" spans="1:163" ht="19.5" customHeight="1">
      <c r="A30" s="32"/>
      <c r="B30" s="217"/>
      <c r="C30" s="220"/>
      <c r="D30" s="221"/>
      <c r="E30" s="96"/>
      <c r="F30" s="191" t="s">
        <v>85</v>
      </c>
      <c r="G30" s="180"/>
      <c r="H30" s="104" t="s">
        <v>43</v>
      </c>
      <c r="I30" s="105"/>
      <c r="J30" s="105"/>
      <c r="K30" s="105" t="s">
        <v>86</v>
      </c>
      <c r="L30" s="126">
        <v>46328</v>
      </c>
      <c r="M30" s="107">
        <v>46328</v>
      </c>
      <c r="N30" s="126"/>
      <c r="O30" s="107"/>
      <c r="P30" s="76">
        <f>NETWORKDAYS(L30,M30,휴일!$A$2:$A$8)</f>
        <v>1</v>
      </c>
      <c r="Q30" s="78">
        <f>IF(NETWORKDAYS(N30,O30,휴일!$A$2:$A$8)&lt;0,"",NETWORKDAYS(N30,O30,휴일!$A$2:$A$8))</f>
        <v>0</v>
      </c>
      <c r="R30" s="76" t="str">
        <f>IFERROR(IF(M30&gt;=$M$1,IF(NETWORKDAYS(L30,$M$1,휴일!$A$2:$A$8)&gt;0,NETWORKDAYS(L30,$M$1,휴일!$A$2:$A$8),""),NETWORKDAYS(L30,M30,휴일!$A$2:$A$8)),"")</f>
        <v/>
      </c>
      <c r="S30" s="80">
        <f>IF(IFERROR(IF(O30&gt;=$M$1,IF(NETWORKDAYS(N30,$M$1,휴일!$A$2:$A$8)&gt;0,NETWORKDAYS(N30,$M$1,휴일!$A$2:$A$8),""),NETWORKDAYS(N30,O30,휴일!$A$2:$A$8)),"")&lt;0,"",IFERROR(IF(O30&gt;=$M$1,IF(NETWORKDAYS(N30,$M$1,휴일!$A$2:$A$8)&gt;0,NETWORKDAYS(N30,$M$1,휴일!$A$2:$A$8),""),NETWORKDAYS(N30,O30,휴일!$A$2:$A$8)),""))</f>
        <v>0</v>
      </c>
      <c r="T30" s="43">
        <f t="shared" si="2"/>
        <v>0</v>
      </c>
      <c r="U30" s="44">
        <f t="shared" si="3"/>
        <v>0</v>
      </c>
      <c r="V30" s="45">
        <f t="shared" si="4"/>
        <v>0</v>
      </c>
      <c r="W30" s="45">
        <f t="shared" si="1"/>
        <v>0</v>
      </c>
      <c r="X30" s="81"/>
      <c r="Y30" s="82"/>
      <c r="Z30" s="82"/>
      <c r="AA30" s="82"/>
      <c r="AB30" s="83"/>
      <c r="AC30" s="82"/>
      <c r="AD30" s="82"/>
      <c r="AE30" s="82"/>
      <c r="AF30" s="82"/>
      <c r="AG30" s="83"/>
      <c r="AH30" s="84"/>
      <c r="AI30" s="82"/>
      <c r="AJ30" s="82"/>
      <c r="AK30" s="82"/>
      <c r="AL30" s="83"/>
      <c r="AM30" s="82"/>
      <c r="AN30" s="82"/>
      <c r="AO30" s="82"/>
      <c r="AP30" s="82"/>
      <c r="AQ30" s="83"/>
      <c r="AR30" s="82"/>
      <c r="AS30" s="82"/>
      <c r="AT30" s="82"/>
      <c r="AU30" s="82"/>
      <c r="AV30" s="83"/>
      <c r="AW30" s="82"/>
      <c r="AX30" s="82"/>
      <c r="AY30" s="82"/>
      <c r="AZ30" s="82"/>
      <c r="BA30" s="83"/>
      <c r="BB30" s="82"/>
      <c r="BC30" s="82"/>
      <c r="BD30" s="82"/>
      <c r="BE30" s="82"/>
      <c r="BF30" s="83"/>
      <c r="BG30" s="82"/>
      <c r="BH30" s="82"/>
      <c r="BI30" s="82"/>
      <c r="BJ30" s="82"/>
      <c r="BK30" s="85"/>
      <c r="BL30" s="84"/>
      <c r="BM30" s="82"/>
      <c r="BN30" s="82"/>
      <c r="BO30" s="82"/>
      <c r="BP30" s="83"/>
      <c r="BQ30" s="82"/>
      <c r="BR30" s="82"/>
      <c r="BS30" s="82"/>
      <c r="BT30" s="82"/>
      <c r="BU30" s="83"/>
      <c r="BV30" s="82"/>
      <c r="BW30" s="82"/>
      <c r="BX30" s="82"/>
      <c r="BY30" s="82"/>
      <c r="BZ30" s="85"/>
      <c r="CA30" s="82"/>
      <c r="CB30" s="82"/>
      <c r="CC30" s="82"/>
      <c r="CD30" s="82"/>
      <c r="CE30" s="83"/>
      <c r="CF30" s="82"/>
      <c r="CG30" s="82"/>
      <c r="CH30" s="82"/>
      <c r="CI30" s="82"/>
      <c r="CJ30" s="83"/>
      <c r="CK30" s="82"/>
      <c r="CL30" s="82"/>
      <c r="CM30" s="82"/>
      <c r="CN30" s="82"/>
      <c r="CO30" s="83"/>
      <c r="CP30" s="82"/>
      <c r="CQ30" s="82"/>
      <c r="CR30" s="82"/>
      <c r="CS30" s="82"/>
      <c r="CT30" s="83"/>
      <c r="CU30" s="82"/>
      <c r="CV30" s="82"/>
      <c r="CW30" s="82"/>
      <c r="CX30" s="82"/>
      <c r="CY30" s="83"/>
      <c r="CZ30" s="82"/>
      <c r="DA30" s="82"/>
      <c r="DB30" s="84"/>
      <c r="DC30" s="82"/>
      <c r="DD30" s="83"/>
      <c r="DE30" s="82"/>
      <c r="DF30" s="82"/>
      <c r="DG30" s="82"/>
      <c r="DH30" s="82"/>
      <c r="DI30" s="83"/>
      <c r="DJ30" s="82"/>
      <c r="DK30" s="82"/>
      <c r="DL30" s="82"/>
      <c r="DM30" s="82"/>
      <c r="DN30" s="83"/>
      <c r="DO30" s="82"/>
      <c r="DP30" s="82"/>
      <c r="DQ30" s="82"/>
      <c r="DR30" s="82"/>
      <c r="DS30" s="83"/>
      <c r="DT30" s="84"/>
      <c r="DU30" s="82"/>
      <c r="DV30" s="82"/>
      <c r="DW30" s="82"/>
      <c r="DX30" s="83"/>
      <c r="DY30" s="82"/>
      <c r="DZ30" s="82"/>
      <c r="EA30" s="84"/>
      <c r="EB30" s="82"/>
      <c r="EC30" s="83"/>
      <c r="ED30" s="82"/>
      <c r="EE30" s="82"/>
      <c r="EF30" s="82"/>
      <c r="EG30" s="82"/>
      <c r="EH30" s="83"/>
      <c r="EI30" s="82"/>
      <c r="EJ30" s="82"/>
      <c r="EK30" s="82"/>
      <c r="EL30" s="82"/>
      <c r="EM30" s="83"/>
      <c r="EN30" s="82"/>
      <c r="EO30" s="82"/>
      <c r="EP30" s="82"/>
      <c r="EQ30" s="84"/>
      <c r="ER30" s="83"/>
      <c r="ES30" s="82"/>
      <c r="ET30" s="82"/>
      <c r="EU30" s="82"/>
      <c r="EV30" s="82"/>
      <c r="EW30" s="83"/>
      <c r="EX30" s="82"/>
      <c r="EY30" s="82"/>
      <c r="EZ30" s="82"/>
      <c r="FA30" s="82"/>
      <c r="FB30" s="83"/>
      <c r="FC30" s="82"/>
      <c r="FD30" s="82"/>
      <c r="FE30" s="82"/>
      <c r="FF30" s="82"/>
      <c r="FG30" s="82"/>
    </row>
    <row r="31" spans="1:163" ht="19.5" customHeight="1">
      <c r="A31" s="32"/>
      <c r="B31" s="218"/>
      <c r="C31" s="219"/>
      <c r="D31" s="222"/>
      <c r="E31" s="96"/>
      <c r="F31" s="191" t="s">
        <v>87</v>
      </c>
      <c r="G31" s="180"/>
      <c r="H31" s="104" t="s">
        <v>35</v>
      </c>
      <c r="I31" s="105" t="s">
        <v>36</v>
      </c>
      <c r="J31" s="105" t="s">
        <v>43</v>
      </c>
      <c r="K31" s="105" t="s">
        <v>88</v>
      </c>
      <c r="L31" s="126">
        <v>46328</v>
      </c>
      <c r="M31" s="107">
        <v>46328</v>
      </c>
      <c r="N31" s="126"/>
      <c r="O31" s="107"/>
      <c r="P31" s="76">
        <f>NETWORKDAYS(L31,M31,휴일!$A$2:$A$8)</f>
        <v>1</v>
      </c>
      <c r="Q31" s="78">
        <f>IF(NETWORKDAYS(N31,O31,휴일!$A$2:$A$8)&lt;0,"",NETWORKDAYS(N31,O31,휴일!$A$2:$A$8))</f>
        <v>0</v>
      </c>
      <c r="R31" s="76" t="str">
        <f>IFERROR(IF(M31&gt;=$M$1,IF(NETWORKDAYS(L31,$M$1,휴일!$A$2:$A$8)&gt;0,NETWORKDAYS(L31,$M$1,휴일!$A$2:$A$8),""),NETWORKDAYS(L31,M31,휴일!$A$2:$A$8)),"")</f>
        <v/>
      </c>
      <c r="S31" s="80">
        <f>IF(IFERROR(IF(O31&gt;=$M$1,IF(NETWORKDAYS(N31,$M$1,휴일!$A$2:$A$8)&gt;0,NETWORKDAYS(N31,$M$1,휴일!$A$2:$A$8),""),NETWORKDAYS(N31,O31,휴일!$A$2:$A$8)),"")&lt;0,"",IFERROR(IF(O31&gt;=$M$1,IF(NETWORKDAYS(N31,$M$1,휴일!$A$2:$A$8)&gt;0,NETWORKDAYS(N31,$M$1,휴일!$A$2:$A$8),""),NETWORKDAYS(N31,O31,휴일!$A$2:$A$8)),""))</f>
        <v>0</v>
      </c>
      <c r="T31" s="43">
        <f t="shared" si="2"/>
        <v>0</v>
      </c>
      <c r="U31" s="44">
        <f t="shared" si="3"/>
        <v>0</v>
      </c>
      <c r="V31" s="45">
        <f t="shared" si="4"/>
        <v>0</v>
      </c>
      <c r="W31" s="45">
        <f t="shared" si="1"/>
        <v>0</v>
      </c>
      <c r="X31" s="81"/>
      <c r="Y31" s="82"/>
      <c r="Z31" s="82"/>
      <c r="AA31" s="82"/>
      <c r="AB31" s="83"/>
      <c r="AC31" s="82"/>
      <c r="AD31" s="82"/>
      <c r="AE31" s="82"/>
      <c r="AF31" s="82"/>
      <c r="AG31" s="83"/>
      <c r="AH31" s="84"/>
      <c r="AI31" s="82"/>
      <c r="AJ31" s="82"/>
      <c r="AK31" s="82"/>
      <c r="AL31" s="83"/>
      <c r="AM31" s="82"/>
      <c r="AN31" s="82"/>
      <c r="AO31" s="82"/>
      <c r="AP31" s="82"/>
      <c r="AQ31" s="83"/>
      <c r="AR31" s="82"/>
      <c r="AS31" s="82"/>
      <c r="AT31" s="82"/>
      <c r="AU31" s="82"/>
      <c r="AV31" s="83"/>
      <c r="AW31" s="82"/>
      <c r="AX31" s="82"/>
      <c r="AY31" s="82"/>
      <c r="AZ31" s="82"/>
      <c r="BA31" s="83"/>
      <c r="BB31" s="82"/>
      <c r="BC31" s="82"/>
      <c r="BD31" s="82"/>
      <c r="BE31" s="82"/>
      <c r="BF31" s="83"/>
      <c r="BG31" s="82"/>
      <c r="BH31" s="82"/>
      <c r="BI31" s="82"/>
      <c r="BJ31" s="82"/>
      <c r="BK31" s="85"/>
      <c r="BL31" s="84"/>
      <c r="BM31" s="82"/>
      <c r="BN31" s="82"/>
      <c r="BO31" s="82"/>
      <c r="BP31" s="83"/>
      <c r="BQ31" s="82"/>
      <c r="BR31" s="82"/>
      <c r="BS31" s="82"/>
      <c r="BT31" s="82"/>
      <c r="BU31" s="83"/>
      <c r="BV31" s="82"/>
      <c r="BW31" s="82"/>
      <c r="BX31" s="82"/>
      <c r="BY31" s="82"/>
      <c r="BZ31" s="85"/>
      <c r="CA31" s="82"/>
      <c r="CB31" s="82"/>
      <c r="CC31" s="82"/>
      <c r="CD31" s="82"/>
      <c r="CE31" s="83"/>
      <c r="CF31" s="82"/>
      <c r="CG31" s="82"/>
      <c r="CH31" s="82"/>
      <c r="CI31" s="82"/>
      <c r="CJ31" s="83"/>
      <c r="CK31" s="82"/>
      <c r="CL31" s="82"/>
      <c r="CM31" s="82"/>
      <c r="CN31" s="82"/>
      <c r="CO31" s="83"/>
      <c r="CP31" s="82"/>
      <c r="CQ31" s="82"/>
      <c r="CR31" s="82"/>
      <c r="CS31" s="82"/>
      <c r="CT31" s="83"/>
      <c r="CU31" s="82"/>
      <c r="CV31" s="82"/>
      <c r="CW31" s="82"/>
      <c r="CX31" s="82"/>
      <c r="CY31" s="83"/>
      <c r="CZ31" s="82"/>
      <c r="DA31" s="82"/>
      <c r="DB31" s="84"/>
      <c r="DC31" s="82"/>
      <c r="DD31" s="83"/>
      <c r="DE31" s="82"/>
      <c r="DF31" s="82"/>
      <c r="DG31" s="82"/>
      <c r="DH31" s="82"/>
      <c r="DI31" s="83"/>
      <c r="DJ31" s="82"/>
      <c r="DK31" s="82"/>
      <c r="DL31" s="82"/>
      <c r="DM31" s="82"/>
      <c r="DN31" s="83"/>
      <c r="DO31" s="82"/>
      <c r="DP31" s="82"/>
      <c r="DQ31" s="82"/>
      <c r="DR31" s="82"/>
      <c r="DS31" s="83"/>
      <c r="DT31" s="84"/>
      <c r="DU31" s="82"/>
      <c r="DV31" s="82"/>
      <c r="DW31" s="82"/>
      <c r="DX31" s="83"/>
      <c r="DY31" s="82"/>
      <c r="DZ31" s="82"/>
      <c r="EA31" s="84"/>
      <c r="EB31" s="82"/>
      <c r="EC31" s="83"/>
      <c r="ED31" s="82"/>
      <c r="EE31" s="82"/>
      <c r="EF31" s="82"/>
      <c r="EG31" s="82"/>
      <c r="EH31" s="83"/>
      <c r="EI31" s="82"/>
      <c r="EJ31" s="82"/>
      <c r="EK31" s="82"/>
      <c r="EL31" s="82"/>
      <c r="EM31" s="83"/>
      <c r="EN31" s="82"/>
      <c r="EO31" s="82"/>
      <c r="EP31" s="82"/>
      <c r="EQ31" s="84"/>
      <c r="ER31" s="83"/>
      <c r="ES31" s="82"/>
      <c r="ET31" s="82"/>
      <c r="EU31" s="82"/>
      <c r="EV31" s="82"/>
      <c r="EW31" s="83"/>
      <c r="EX31" s="82"/>
      <c r="EY31" s="82"/>
      <c r="EZ31" s="82"/>
      <c r="FA31" s="82"/>
      <c r="FB31" s="83"/>
      <c r="FC31" s="82"/>
      <c r="FD31" s="82"/>
      <c r="FE31" s="82"/>
      <c r="FF31" s="82"/>
      <c r="FG31" s="82"/>
    </row>
    <row r="32" spans="1:163" ht="19.5" customHeight="1">
      <c r="A32" s="32"/>
      <c r="B32" s="62">
        <v>4</v>
      </c>
      <c r="C32" s="87">
        <v>0.2</v>
      </c>
      <c r="D32" s="127" t="s">
        <v>89</v>
      </c>
      <c r="E32" s="128"/>
      <c r="F32" s="177" t="s">
        <v>90</v>
      </c>
      <c r="G32" s="178"/>
      <c r="H32" s="37" t="s">
        <v>43</v>
      </c>
      <c r="I32" s="88" t="s">
        <v>36</v>
      </c>
      <c r="J32" s="88"/>
      <c r="K32" s="88" t="s">
        <v>91</v>
      </c>
      <c r="L32" s="39">
        <v>46329</v>
      </c>
      <c r="M32" s="124">
        <v>46329</v>
      </c>
      <c r="N32" s="123"/>
      <c r="O32" s="124"/>
      <c r="P32" s="38">
        <f>NETWORKDAYS(L32,M32,휴일!$A$2:$A$8)</f>
        <v>1</v>
      </c>
      <c r="Q32" s="41">
        <f>IF(NETWORKDAYS(N32,O32,휴일!$A$2:$A$8)&lt;0,"",NETWORKDAYS(N32,O32,휴일!$A$2:$A$8))</f>
        <v>0</v>
      </c>
      <c r="R32" s="38" t="str">
        <f>IFERROR(IF(M32&gt;=$M$1,IF(NETWORKDAYS(L32,$M$1,휴일!$A$2:$A$8)&gt;0,NETWORKDAYS(L32,$M$1,휴일!$A$2:$A$8),""),NETWORKDAYS(L32,M32,휴일!$A$2:$A$8)),"")</f>
        <v/>
      </c>
      <c r="S32" s="38">
        <f>IF(IFERROR(IF(O32&gt;=$M$1,IF(NETWORKDAYS(N32,$M$1,휴일!$A$2:$A$8)&gt;0,NETWORKDAYS(N32,$M$1,휴일!$A$2:$A$8),""),NETWORKDAYS(N32,O32,휴일!$A$2:$A$8)),"")&lt;0,"",IFERROR(IF(O32&gt;=$M$1,IF(NETWORKDAYS(N32,$M$1,휴일!$A$2:$A$8)&gt;0,NETWORKDAYS(N32,$M$1,휴일!$A$2:$A$8),""),NETWORKDAYS(N32,O32,휴일!$A$2:$A$8)),""))</f>
        <v>0</v>
      </c>
      <c r="T32" s="162">
        <f t="shared" si="2"/>
        <v>0</v>
      </c>
      <c r="U32" s="44">
        <f t="shared" si="3"/>
        <v>0</v>
      </c>
      <c r="V32" s="45">
        <f t="shared" si="4"/>
        <v>0</v>
      </c>
      <c r="W32" s="45">
        <f t="shared" si="1"/>
        <v>0</v>
      </c>
      <c r="X32" s="46"/>
      <c r="Y32" s="46"/>
      <c r="Z32" s="46"/>
      <c r="AA32" s="46"/>
      <c r="AB32" s="56"/>
      <c r="AC32" s="46"/>
      <c r="AD32" s="46"/>
      <c r="AE32" s="46"/>
      <c r="AF32" s="46"/>
      <c r="AG32" s="56"/>
      <c r="AH32" s="49"/>
      <c r="AI32" s="46"/>
      <c r="AJ32" s="46"/>
      <c r="AK32" s="46"/>
      <c r="AL32" s="56"/>
      <c r="AM32" s="46"/>
      <c r="AN32" s="46"/>
      <c r="AO32" s="46"/>
      <c r="AP32" s="46"/>
      <c r="AQ32" s="56"/>
      <c r="AR32" s="46"/>
      <c r="AS32" s="46"/>
      <c r="AT32" s="46"/>
      <c r="AU32" s="46"/>
      <c r="AV32" s="56"/>
      <c r="AW32" s="46"/>
      <c r="AX32" s="46"/>
      <c r="AY32" s="46"/>
      <c r="AZ32" s="46"/>
      <c r="BA32" s="56"/>
      <c r="BB32" s="46"/>
      <c r="BC32" s="46"/>
      <c r="BD32" s="46"/>
      <c r="BE32" s="46"/>
      <c r="BF32" s="56"/>
      <c r="BG32" s="46"/>
      <c r="BH32" s="46"/>
      <c r="BI32" s="46"/>
      <c r="BJ32" s="46"/>
      <c r="BK32" s="57"/>
      <c r="BL32" s="49"/>
      <c r="BM32" s="46"/>
      <c r="BN32" s="46"/>
      <c r="BO32" s="46"/>
      <c r="BP32" s="56"/>
      <c r="BQ32" s="46"/>
      <c r="BR32" s="46"/>
      <c r="BS32" s="46"/>
      <c r="BT32" s="46"/>
      <c r="BU32" s="56"/>
      <c r="BV32" s="46"/>
      <c r="BW32" s="46"/>
      <c r="BX32" s="46"/>
      <c r="BY32" s="46"/>
      <c r="BZ32" s="57"/>
      <c r="CA32" s="46"/>
      <c r="CB32" s="46"/>
      <c r="CC32" s="46"/>
      <c r="CD32" s="46"/>
      <c r="CE32" s="56"/>
      <c r="CF32" s="46"/>
      <c r="CG32" s="46"/>
      <c r="CH32" s="46"/>
      <c r="CI32" s="46"/>
      <c r="CJ32" s="56"/>
      <c r="CK32" s="46"/>
      <c r="CL32" s="46"/>
      <c r="CM32" s="46"/>
      <c r="CN32" s="46"/>
      <c r="CO32" s="56"/>
      <c r="CP32" s="46"/>
      <c r="CQ32" s="46"/>
      <c r="CR32" s="46"/>
      <c r="CS32" s="46"/>
      <c r="CT32" s="56"/>
      <c r="CU32" s="46"/>
      <c r="CV32" s="46"/>
      <c r="CW32" s="46"/>
      <c r="CX32" s="46"/>
      <c r="CY32" s="56"/>
      <c r="CZ32" s="46"/>
      <c r="DA32" s="46"/>
      <c r="DB32" s="49"/>
      <c r="DC32" s="46"/>
      <c r="DD32" s="56"/>
      <c r="DE32" s="46"/>
      <c r="DF32" s="46"/>
      <c r="DG32" s="46"/>
      <c r="DH32" s="46"/>
      <c r="DI32" s="56"/>
      <c r="DJ32" s="46"/>
      <c r="DK32" s="46"/>
      <c r="DL32" s="46"/>
      <c r="DM32" s="46"/>
      <c r="DN32" s="56"/>
      <c r="DO32" s="46"/>
      <c r="DP32" s="46"/>
      <c r="DQ32" s="46"/>
      <c r="DR32" s="46"/>
      <c r="DS32" s="56"/>
      <c r="DT32" s="49"/>
      <c r="DU32" s="46"/>
      <c r="DV32" s="46"/>
      <c r="DW32" s="46"/>
      <c r="DX32" s="56"/>
      <c r="DY32" s="46"/>
      <c r="DZ32" s="46"/>
      <c r="EA32" s="49"/>
      <c r="EB32" s="46"/>
      <c r="EC32" s="56"/>
      <c r="ED32" s="46"/>
      <c r="EE32" s="46"/>
      <c r="EF32" s="46"/>
      <c r="EG32" s="46"/>
      <c r="EH32" s="56"/>
      <c r="EI32" s="46"/>
      <c r="EJ32" s="46"/>
      <c r="EK32" s="46"/>
      <c r="EL32" s="46"/>
      <c r="EM32" s="56"/>
      <c r="EN32" s="46"/>
      <c r="EO32" s="46"/>
      <c r="EP32" s="46"/>
      <c r="EQ32" s="49"/>
      <c r="ER32" s="56"/>
      <c r="ES32" s="46"/>
      <c r="ET32" s="46"/>
      <c r="EU32" s="46"/>
      <c r="EV32" s="46"/>
      <c r="EW32" s="56"/>
      <c r="EX32" s="46"/>
      <c r="EY32" s="46"/>
      <c r="EZ32" s="46"/>
      <c r="FA32" s="46"/>
      <c r="FB32" s="56"/>
      <c r="FC32" s="46"/>
      <c r="FD32" s="46"/>
      <c r="FE32" s="46"/>
      <c r="FF32" s="46"/>
      <c r="FG32" s="46"/>
    </row>
    <row r="33" spans="1:163" ht="19.5" customHeight="1">
      <c r="A33" s="32"/>
      <c r="B33" s="62"/>
      <c r="C33" s="89"/>
      <c r="D33" s="35"/>
      <c r="E33" s="96"/>
      <c r="F33" s="177" t="s">
        <v>92</v>
      </c>
      <c r="G33" s="178"/>
      <c r="H33" s="129" t="s">
        <v>35</v>
      </c>
      <c r="I33" s="88"/>
      <c r="J33" s="88"/>
      <c r="K33" s="130" t="s">
        <v>93</v>
      </c>
      <c r="L33" s="39">
        <v>46329</v>
      </c>
      <c r="M33" s="124">
        <v>46329</v>
      </c>
      <c r="N33" s="123"/>
      <c r="O33" s="124"/>
      <c r="P33" s="40">
        <f>NETWORKDAYS(L33,M33,휴일!$A$2:$A$8)</f>
        <v>1</v>
      </c>
      <c r="Q33" s="41">
        <f>IF(NETWORKDAYS(N33,O33,휴일!$A$2:$A$8)&lt;0,"",NETWORKDAYS(N33,O33,휴일!$A$2:$A$8))</f>
        <v>0</v>
      </c>
      <c r="R33" s="38" t="str">
        <f>IFERROR(IF(M33&gt;=$M$1,IF(NETWORKDAYS(L33,$M$1,휴일!$A$2:$A$8)&gt;0,NETWORKDAYS(L33,$M$1,휴일!$A$2:$A$8),""),NETWORKDAYS(L33,M33,휴일!$A$2:$A$8)),"")</f>
        <v/>
      </c>
      <c r="S33" s="38">
        <f>IF(IFERROR(IF(O33&gt;=$M$1,IF(NETWORKDAYS(N33,$M$1,휴일!$A$2:$A$8)&gt;0,NETWORKDAYS(N33,$M$1,휴일!$A$2:$A$8),""),NETWORKDAYS(N33,O33,휴일!$A$2:$A$8)),"")&lt;0,"",IFERROR(IF(O33&gt;=$M$1,IF(NETWORKDAYS(N33,$M$1,휴일!$A$2:$A$8)&gt;0,NETWORKDAYS(N33,$M$1,휴일!$A$2:$A$8),""),NETWORKDAYS(N33,O33,휴일!$A$2:$A$8)),""))</f>
        <v>0</v>
      </c>
      <c r="T33" s="162">
        <f t="shared" si="2"/>
        <v>0</v>
      </c>
      <c r="U33" s="44">
        <f t="shared" si="3"/>
        <v>0</v>
      </c>
      <c r="V33" s="45">
        <f t="shared" si="4"/>
        <v>0</v>
      </c>
      <c r="W33" s="45">
        <f t="shared" si="1"/>
        <v>0</v>
      </c>
      <c r="X33" s="46"/>
      <c r="Y33" s="64"/>
      <c r="Z33" s="64"/>
      <c r="AA33" s="64"/>
      <c r="AB33" s="65"/>
      <c r="AC33" s="64"/>
      <c r="AD33" s="64"/>
      <c r="AE33" s="64"/>
      <c r="AF33" s="64"/>
      <c r="AG33" s="65"/>
      <c r="AH33" s="66"/>
      <c r="AI33" s="64"/>
      <c r="AJ33" s="64"/>
      <c r="AK33" s="64"/>
      <c r="AL33" s="65"/>
      <c r="AM33" s="64"/>
      <c r="AN33" s="64"/>
      <c r="AO33" s="64"/>
      <c r="AP33" s="64"/>
      <c r="AQ33" s="65"/>
      <c r="AR33" s="64"/>
      <c r="AS33" s="64"/>
      <c r="AT33" s="64"/>
      <c r="AU33" s="64"/>
      <c r="AV33" s="65"/>
      <c r="AW33" s="64"/>
      <c r="AX33" s="64"/>
      <c r="AY33" s="64"/>
      <c r="AZ33" s="64"/>
      <c r="BA33" s="65"/>
      <c r="BB33" s="64"/>
      <c r="BC33" s="64"/>
      <c r="BD33" s="64"/>
      <c r="BE33" s="64"/>
      <c r="BF33" s="65"/>
      <c r="BG33" s="64"/>
      <c r="BH33" s="64"/>
      <c r="BI33" s="64"/>
      <c r="BJ33" s="64"/>
      <c r="BK33" s="67"/>
      <c r="BL33" s="66"/>
      <c r="BM33" s="64"/>
      <c r="BN33" s="64"/>
      <c r="BO33" s="64"/>
      <c r="BP33" s="65"/>
      <c r="BQ33" s="64"/>
      <c r="BR33" s="64"/>
      <c r="BS33" s="64"/>
      <c r="BT33" s="64"/>
      <c r="BU33" s="65"/>
      <c r="BV33" s="64"/>
      <c r="BW33" s="64"/>
      <c r="BX33" s="64"/>
      <c r="BY33" s="64"/>
      <c r="BZ33" s="67"/>
      <c r="CA33" s="64"/>
      <c r="CB33" s="64"/>
      <c r="CC33" s="64"/>
      <c r="CD33" s="64"/>
      <c r="CE33" s="65"/>
      <c r="CF33" s="64"/>
      <c r="CG33" s="64"/>
      <c r="CH33" s="64"/>
      <c r="CI33" s="64"/>
      <c r="CJ33" s="65"/>
      <c r="CK33" s="64"/>
      <c r="CL33" s="64"/>
      <c r="CM33" s="64"/>
      <c r="CN33" s="64"/>
      <c r="CO33" s="65"/>
      <c r="CP33" s="64"/>
      <c r="CQ33" s="64"/>
      <c r="CR33" s="64"/>
      <c r="CS33" s="64"/>
      <c r="CT33" s="65"/>
      <c r="CU33" s="64"/>
      <c r="CV33" s="64"/>
      <c r="CW33" s="64"/>
      <c r="CX33" s="64"/>
      <c r="CY33" s="65"/>
      <c r="CZ33" s="64"/>
      <c r="DA33" s="64"/>
      <c r="DB33" s="66"/>
      <c r="DC33" s="64"/>
      <c r="DD33" s="65"/>
      <c r="DE33" s="64"/>
      <c r="DF33" s="64"/>
      <c r="DG33" s="64"/>
      <c r="DH33" s="64"/>
      <c r="DI33" s="65"/>
      <c r="DJ33" s="64"/>
      <c r="DK33" s="64"/>
      <c r="DL33" s="64"/>
      <c r="DM33" s="64"/>
      <c r="DN33" s="65"/>
      <c r="DO33" s="64"/>
      <c r="DP33" s="64"/>
      <c r="DQ33" s="64"/>
      <c r="DR33" s="64"/>
      <c r="DS33" s="65"/>
      <c r="DT33" s="66"/>
      <c r="DU33" s="64"/>
      <c r="DV33" s="64"/>
      <c r="DW33" s="64"/>
      <c r="DX33" s="65"/>
      <c r="DY33" s="64"/>
      <c r="DZ33" s="64"/>
      <c r="EA33" s="66"/>
      <c r="EB33" s="64"/>
      <c r="EC33" s="65"/>
      <c r="ED33" s="64"/>
      <c r="EE33" s="64"/>
      <c r="EF33" s="64"/>
      <c r="EG33" s="64"/>
      <c r="EH33" s="65"/>
      <c r="EI33" s="64"/>
      <c r="EJ33" s="64"/>
      <c r="EK33" s="64"/>
      <c r="EL33" s="64"/>
      <c r="EM33" s="65"/>
      <c r="EN33" s="64"/>
      <c r="EO33" s="64"/>
      <c r="EP33" s="64"/>
      <c r="EQ33" s="66"/>
      <c r="ER33" s="65"/>
      <c r="ES33" s="64"/>
      <c r="ET33" s="64"/>
      <c r="EU33" s="64"/>
      <c r="EV33" s="64"/>
      <c r="EW33" s="65"/>
      <c r="EX33" s="64"/>
      <c r="EY33" s="64"/>
      <c r="EZ33" s="64"/>
      <c r="FA33" s="64"/>
      <c r="FB33" s="65"/>
      <c r="FC33" s="64"/>
      <c r="FD33" s="64"/>
      <c r="FE33" s="64"/>
      <c r="FF33" s="64"/>
      <c r="FG33" s="64"/>
    </row>
    <row r="34" spans="1:163" ht="19.5" customHeight="1">
      <c r="A34" s="32"/>
      <c r="B34" s="62"/>
      <c r="C34" s="89"/>
      <c r="D34" s="35"/>
      <c r="E34" s="96"/>
      <c r="F34" s="177" t="s">
        <v>94</v>
      </c>
      <c r="G34" s="178"/>
      <c r="H34" s="129" t="s">
        <v>35</v>
      </c>
      <c r="I34" s="88"/>
      <c r="J34" s="88"/>
      <c r="K34" s="130" t="s">
        <v>95</v>
      </c>
      <c r="L34" s="39">
        <v>46329</v>
      </c>
      <c r="M34" s="124">
        <v>46329</v>
      </c>
      <c r="N34" s="123"/>
      <c r="O34" s="124"/>
      <c r="P34" s="40">
        <f>NETWORKDAYS(L34,M34,휴일!$A$2:$A$8)</f>
        <v>1</v>
      </c>
      <c r="Q34" s="41">
        <f>IF(NETWORKDAYS(N34,O34,휴일!$A$2:$A$8)&lt;0,"",NETWORKDAYS(N34,O34,휴일!$A$2:$A$8))</f>
        <v>0</v>
      </c>
      <c r="R34" s="38" t="str">
        <f>IFERROR(IF(M34&gt;=$M$1,IF(NETWORKDAYS(L34,$M$1,휴일!$A$2:$A$8)&gt;0,NETWORKDAYS(L34,$M$1,휴일!$A$2:$A$8),""),NETWORKDAYS(L34,M34,휴일!$A$2:$A$8)),"")</f>
        <v/>
      </c>
      <c r="S34" s="38">
        <f>IF(IFERROR(IF(O34&gt;=$M$1,IF(NETWORKDAYS(N34,$M$1,휴일!$A$2:$A$8)&gt;0,NETWORKDAYS(N34,$M$1,휴일!$A$2:$A$8),""),NETWORKDAYS(N34,O34,휴일!$A$2:$A$8)),"")&lt;0,"",IFERROR(IF(O34&gt;=$M$1,IF(NETWORKDAYS(N34,$M$1,휴일!$A$2:$A$8)&gt;0,NETWORKDAYS(N34,$M$1,휴일!$A$2:$A$8),""),NETWORKDAYS(N34,O34,휴일!$A$2:$A$8)),""))</f>
        <v>0</v>
      </c>
      <c r="T34" s="162">
        <f t="shared" si="2"/>
        <v>0</v>
      </c>
      <c r="U34" s="44">
        <f t="shared" si="3"/>
        <v>0</v>
      </c>
      <c r="V34" s="45">
        <f t="shared" si="4"/>
        <v>0</v>
      </c>
      <c r="W34" s="45">
        <f t="shared" si="1"/>
        <v>0</v>
      </c>
      <c r="X34" s="46"/>
      <c r="Y34" s="64"/>
      <c r="Z34" s="64"/>
      <c r="AA34" s="64"/>
      <c r="AB34" s="65"/>
      <c r="AC34" s="64"/>
      <c r="AD34" s="64"/>
      <c r="AE34" s="64"/>
      <c r="AF34" s="64"/>
      <c r="AG34" s="65"/>
      <c r="AH34" s="66"/>
      <c r="AI34" s="64"/>
      <c r="AJ34" s="64"/>
      <c r="AK34" s="64"/>
      <c r="AL34" s="65"/>
      <c r="AM34" s="64"/>
      <c r="AN34" s="64"/>
      <c r="AO34" s="64"/>
      <c r="AP34" s="64"/>
      <c r="AQ34" s="65"/>
      <c r="AR34" s="64"/>
      <c r="AS34" s="64"/>
      <c r="AT34" s="64"/>
      <c r="AU34" s="64"/>
      <c r="AV34" s="65"/>
      <c r="AW34" s="64"/>
      <c r="AX34" s="64"/>
      <c r="AY34" s="64"/>
      <c r="AZ34" s="64"/>
      <c r="BA34" s="65"/>
      <c r="BB34" s="64"/>
      <c r="BC34" s="64"/>
      <c r="BD34" s="64"/>
      <c r="BE34" s="64"/>
      <c r="BF34" s="65"/>
      <c r="BG34" s="64"/>
      <c r="BH34" s="64"/>
      <c r="BI34" s="64"/>
      <c r="BJ34" s="64"/>
      <c r="BK34" s="67"/>
      <c r="BL34" s="66"/>
      <c r="BM34" s="64"/>
      <c r="BN34" s="64"/>
      <c r="BO34" s="64"/>
      <c r="BP34" s="65"/>
      <c r="BQ34" s="64"/>
      <c r="BR34" s="64"/>
      <c r="BS34" s="64"/>
      <c r="BT34" s="64"/>
      <c r="BU34" s="65"/>
      <c r="BV34" s="64"/>
      <c r="BW34" s="64"/>
      <c r="BX34" s="64"/>
      <c r="BY34" s="64"/>
      <c r="BZ34" s="67"/>
      <c r="CA34" s="64"/>
      <c r="CB34" s="64"/>
      <c r="CC34" s="64"/>
      <c r="CD34" s="64"/>
      <c r="CE34" s="65"/>
      <c r="CF34" s="64"/>
      <c r="CG34" s="64"/>
      <c r="CH34" s="64"/>
      <c r="CI34" s="64"/>
      <c r="CJ34" s="65"/>
      <c r="CK34" s="64"/>
      <c r="CL34" s="64"/>
      <c r="CM34" s="64"/>
      <c r="CN34" s="64"/>
      <c r="CO34" s="65"/>
      <c r="CP34" s="64"/>
      <c r="CQ34" s="64"/>
      <c r="CR34" s="64"/>
      <c r="CS34" s="64"/>
      <c r="CT34" s="65"/>
      <c r="CU34" s="64"/>
      <c r="CV34" s="64"/>
      <c r="CW34" s="64"/>
      <c r="CX34" s="64"/>
      <c r="CY34" s="65"/>
      <c r="CZ34" s="64"/>
      <c r="DA34" s="64"/>
      <c r="DB34" s="66"/>
      <c r="DC34" s="64"/>
      <c r="DD34" s="65"/>
      <c r="DE34" s="64"/>
      <c r="DF34" s="64"/>
      <c r="DG34" s="64"/>
      <c r="DH34" s="64"/>
      <c r="DI34" s="65"/>
      <c r="DJ34" s="64"/>
      <c r="DK34" s="64"/>
      <c r="DL34" s="64"/>
      <c r="DM34" s="64"/>
      <c r="DN34" s="65"/>
      <c r="DO34" s="64"/>
      <c r="DP34" s="64"/>
      <c r="DQ34" s="64"/>
      <c r="DR34" s="64"/>
      <c r="DS34" s="65"/>
      <c r="DT34" s="66"/>
      <c r="DU34" s="64"/>
      <c r="DV34" s="64"/>
      <c r="DW34" s="64"/>
      <c r="DX34" s="65"/>
      <c r="DY34" s="64"/>
      <c r="DZ34" s="64"/>
      <c r="EA34" s="66"/>
      <c r="EB34" s="64"/>
      <c r="EC34" s="65"/>
      <c r="ED34" s="64"/>
      <c r="EE34" s="64"/>
      <c r="EF34" s="64"/>
      <c r="EG34" s="64"/>
      <c r="EH34" s="65"/>
      <c r="EI34" s="64"/>
      <c r="EJ34" s="64"/>
      <c r="EK34" s="64"/>
      <c r="EL34" s="64"/>
      <c r="EM34" s="65"/>
      <c r="EN34" s="64"/>
      <c r="EO34" s="64"/>
      <c r="EP34" s="64"/>
      <c r="EQ34" s="66"/>
      <c r="ER34" s="65"/>
      <c r="ES34" s="64"/>
      <c r="ET34" s="64"/>
      <c r="EU34" s="64"/>
      <c r="EV34" s="64"/>
      <c r="EW34" s="65"/>
      <c r="EX34" s="64"/>
      <c r="EY34" s="64"/>
      <c r="EZ34" s="64"/>
      <c r="FA34" s="64"/>
      <c r="FB34" s="65"/>
      <c r="FC34" s="64"/>
      <c r="FD34" s="64"/>
      <c r="FE34" s="64"/>
      <c r="FF34" s="64"/>
      <c r="FG34" s="64"/>
    </row>
    <row r="35" spans="1:163" ht="19.5" customHeight="1">
      <c r="A35" s="97"/>
      <c r="B35" s="62"/>
      <c r="C35" s="89"/>
      <c r="D35" s="35"/>
      <c r="E35" s="96"/>
      <c r="F35" s="206" t="s">
        <v>96</v>
      </c>
      <c r="G35" s="178"/>
      <c r="H35" s="129" t="s">
        <v>36</v>
      </c>
      <c r="I35" s="131"/>
      <c r="J35" s="131"/>
      <c r="K35" s="130" t="s">
        <v>97</v>
      </c>
      <c r="L35" s="123">
        <v>46329</v>
      </c>
      <c r="M35" s="124">
        <v>46329</v>
      </c>
      <c r="N35" s="123"/>
      <c r="O35" s="124"/>
      <c r="P35" s="132">
        <f>NETWORKDAYS(L35,M35,휴일!$A$2:$A$8)</f>
        <v>1</v>
      </c>
      <c r="Q35" s="41">
        <f>IF(NETWORKDAYS(N35,O35,휴일!$A$2:$A$8)&lt;0,"",NETWORKDAYS(N35,O35,휴일!$A$2:$A$8))</f>
        <v>0</v>
      </c>
      <c r="R35" s="132" t="str">
        <f>IFERROR(IF(M35&gt;=$M$1,IF(NETWORKDAYS(L35,$M$1,휴일!$A$2:$A$8)&gt;0,NETWORKDAYS(L35,$M$1,휴일!$A$2:$A$8),""),NETWORKDAYS(L35,M35,휴일!$A$2:$A$8)),"")</f>
        <v/>
      </c>
      <c r="S35" s="42">
        <f>IF(IFERROR(IF(O35&gt;=$M$1,IF(NETWORKDAYS(N35,$M$1,휴일!$A$2:$A$8)&gt;0,NETWORKDAYS(N35,$M$1,휴일!$A$2:$A$8),""),NETWORKDAYS(N35,O35,휴일!$A$2:$A$8)),"")&lt;0,"",IFERROR(IF(O35&gt;=$M$1,IF(NETWORKDAYS(N35,$M$1,휴일!$A$2:$A$8)&gt;0,NETWORKDAYS(N35,$M$1,휴일!$A$2:$A$8),""),NETWORKDAYS(N35,O35,휴일!$A$2:$A$8)),""))</f>
        <v>0</v>
      </c>
      <c r="T35" s="43">
        <f t="shared" si="2"/>
        <v>0</v>
      </c>
      <c r="U35" s="44">
        <f t="shared" si="3"/>
        <v>0</v>
      </c>
      <c r="V35" s="45">
        <f t="shared" si="4"/>
        <v>0</v>
      </c>
      <c r="W35" s="45">
        <f t="shared" si="1"/>
        <v>0</v>
      </c>
      <c r="X35" s="46"/>
      <c r="Y35" s="133"/>
      <c r="Z35" s="133"/>
      <c r="AA35" s="133"/>
      <c r="AB35" s="134"/>
      <c r="AC35" s="133"/>
      <c r="AD35" s="133"/>
      <c r="AE35" s="133"/>
      <c r="AF35" s="133"/>
      <c r="AG35" s="134"/>
      <c r="AH35" s="135"/>
      <c r="AI35" s="133"/>
      <c r="AJ35" s="133"/>
      <c r="AK35" s="133"/>
      <c r="AL35" s="134"/>
      <c r="AM35" s="133"/>
      <c r="AN35" s="133"/>
      <c r="AO35" s="133"/>
      <c r="AP35" s="133"/>
      <c r="AQ35" s="134"/>
      <c r="AR35" s="133"/>
      <c r="AS35" s="133"/>
      <c r="AT35" s="133"/>
      <c r="AU35" s="133"/>
      <c r="AV35" s="134"/>
      <c r="AW35" s="133"/>
      <c r="AX35" s="133"/>
      <c r="AY35" s="133"/>
      <c r="AZ35" s="133"/>
      <c r="BA35" s="134"/>
      <c r="BB35" s="133"/>
      <c r="BC35" s="133"/>
      <c r="BD35" s="133"/>
      <c r="BE35" s="133"/>
      <c r="BF35" s="134"/>
      <c r="BG35" s="133"/>
      <c r="BH35" s="133"/>
      <c r="BI35" s="133"/>
      <c r="BJ35" s="133"/>
      <c r="BK35" s="136"/>
      <c r="BL35" s="135"/>
      <c r="BM35" s="133"/>
      <c r="BN35" s="133"/>
      <c r="BO35" s="133"/>
      <c r="BP35" s="134"/>
      <c r="BQ35" s="133"/>
      <c r="BR35" s="133"/>
      <c r="BS35" s="133"/>
      <c r="BT35" s="133"/>
      <c r="BU35" s="134"/>
      <c r="BV35" s="133"/>
      <c r="BW35" s="133"/>
      <c r="BX35" s="133"/>
      <c r="BY35" s="133"/>
      <c r="BZ35" s="136"/>
      <c r="CA35" s="133"/>
      <c r="CB35" s="133"/>
      <c r="CC35" s="133"/>
      <c r="CD35" s="133"/>
      <c r="CE35" s="134"/>
      <c r="CF35" s="133"/>
      <c r="CG35" s="133"/>
      <c r="CH35" s="133"/>
      <c r="CI35" s="133"/>
      <c r="CJ35" s="134"/>
      <c r="CK35" s="133"/>
      <c r="CL35" s="133"/>
      <c r="CM35" s="133"/>
      <c r="CN35" s="133"/>
      <c r="CO35" s="134"/>
      <c r="CP35" s="133"/>
      <c r="CQ35" s="133"/>
      <c r="CR35" s="133"/>
      <c r="CS35" s="133"/>
      <c r="CT35" s="134"/>
      <c r="CU35" s="133"/>
      <c r="CV35" s="133"/>
      <c r="CW35" s="133"/>
      <c r="CX35" s="133"/>
      <c r="CY35" s="134"/>
      <c r="CZ35" s="133"/>
      <c r="DA35" s="133"/>
      <c r="DB35" s="135"/>
      <c r="DC35" s="133"/>
      <c r="DD35" s="134"/>
      <c r="DE35" s="133"/>
      <c r="DF35" s="133"/>
      <c r="DG35" s="133"/>
      <c r="DH35" s="133"/>
      <c r="DI35" s="134"/>
      <c r="DJ35" s="133"/>
      <c r="DK35" s="133"/>
      <c r="DL35" s="133"/>
      <c r="DM35" s="133"/>
      <c r="DN35" s="134"/>
      <c r="DO35" s="133"/>
      <c r="DP35" s="133"/>
      <c r="DQ35" s="133"/>
      <c r="DR35" s="133"/>
      <c r="DS35" s="134"/>
      <c r="DT35" s="135"/>
      <c r="DU35" s="133"/>
      <c r="DV35" s="133"/>
      <c r="DW35" s="133"/>
      <c r="DX35" s="134"/>
      <c r="DY35" s="133"/>
      <c r="DZ35" s="133"/>
      <c r="EA35" s="135"/>
      <c r="EB35" s="133"/>
      <c r="EC35" s="134"/>
      <c r="ED35" s="133"/>
      <c r="EE35" s="133"/>
      <c r="EF35" s="133"/>
      <c r="EG35" s="133"/>
      <c r="EH35" s="134"/>
      <c r="EI35" s="133"/>
      <c r="EJ35" s="133"/>
      <c r="EK35" s="133"/>
      <c r="EL35" s="133"/>
      <c r="EM35" s="134"/>
      <c r="EN35" s="133"/>
      <c r="EO35" s="133"/>
      <c r="EP35" s="133"/>
      <c r="EQ35" s="135"/>
      <c r="ER35" s="134"/>
      <c r="ES35" s="133"/>
      <c r="ET35" s="133"/>
      <c r="EU35" s="133"/>
      <c r="EV35" s="133"/>
      <c r="EW35" s="134"/>
      <c r="EX35" s="133"/>
      <c r="EY35" s="133"/>
      <c r="EZ35" s="133"/>
      <c r="FA35" s="133"/>
      <c r="FB35" s="134"/>
      <c r="FC35" s="133"/>
      <c r="FD35" s="133"/>
      <c r="FE35" s="133"/>
      <c r="FF35" s="133"/>
      <c r="FG35" s="133"/>
    </row>
    <row r="36" spans="1:163" ht="19.5" customHeight="1">
      <c r="A36" s="32"/>
      <c r="B36" s="62"/>
      <c r="C36" s="89"/>
      <c r="D36" s="35"/>
      <c r="E36" s="96"/>
      <c r="F36" s="202" t="s">
        <v>98</v>
      </c>
      <c r="G36" s="178"/>
      <c r="H36" s="129" t="s">
        <v>36</v>
      </c>
      <c r="I36" s="131"/>
      <c r="J36" s="131"/>
      <c r="K36" s="131" t="s">
        <v>99</v>
      </c>
      <c r="L36" s="123">
        <v>46329</v>
      </c>
      <c r="M36" s="124">
        <v>46329</v>
      </c>
      <c r="N36" s="123"/>
      <c r="O36" s="124"/>
      <c r="P36" s="132">
        <f>NETWORKDAYS(L36,M36,휴일!$A$2:$A$8)</f>
        <v>1</v>
      </c>
      <c r="Q36" s="41">
        <f>IF(NETWORKDAYS(N36,O36,휴일!$A$2:$A$8)&lt;0,"",NETWORKDAYS(N36,O36,휴일!$A$2:$A$8))</f>
        <v>0</v>
      </c>
      <c r="R36" s="132" t="str">
        <f>IFERROR(IF(M36&gt;=$M$1,IF(NETWORKDAYS(L36,$M$1,휴일!$A$2:$A$8)&gt;0,NETWORKDAYS(L36,$M$1,휴일!$A$2:$A$8),""),NETWORKDAYS(L36,M36,휴일!$A$2:$A$8)),"")</f>
        <v/>
      </c>
      <c r="S36" s="42">
        <f>IF(IFERROR(IF(O36&gt;=$M$1,IF(NETWORKDAYS(N36,$M$1,휴일!$A$2:$A$8)&gt;0,NETWORKDAYS(N36,$M$1,휴일!$A$2:$A$8),""),NETWORKDAYS(N36,O36,휴일!$A$2:$A$8)),"")&lt;0,"",IFERROR(IF(O36&gt;=$M$1,IF(NETWORKDAYS(N36,$M$1,휴일!$A$2:$A$8)&gt;0,NETWORKDAYS(N36,$M$1,휴일!$A$2:$A$8),""),NETWORKDAYS(N36,O36,휴일!$A$2:$A$8)),""))</f>
        <v>0</v>
      </c>
      <c r="T36" s="43">
        <f t="shared" si="2"/>
        <v>0</v>
      </c>
      <c r="U36" s="44">
        <f t="shared" si="3"/>
        <v>0</v>
      </c>
      <c r="V36" s="45">
        <f t="shared" si="4"/>
        <v>0</v>
      </c>
      <c r="W36" s="45">
        <f t="shared" si="1"/>
        <v>0</v>
      </c>
      <c r="X36" s="46"/>
      <c r="Y36" s="64"/>
      <c r="Z36" s="64"/>
      <c r="AA36" s="64"/>
      <c r="AB36" s="65"/>
      <c r="AC36" s="64"/>
      <c r="AD36" s="64"/>
      <c r="AE36" s="64"/>
      <c r="AF36" s="64"/>
      <c r="AG36" s="65"/>
      <c r="AH36" s="66"/>
      <c r="AI36" s="64"/>
      <c r="AJ36" s="64"/>
      <c r="AK36" s="64"/>
      <c r="AL36" s="65"/>
      <c r="AM36" s="64"/>
      <c r="AN36" s="64"/>
      <c r="AO36" s="64"/>
      <c r="AP36" s="64"/>
      <c r="AQ36" s="65"/>
      <c r="AR36" s="64"/>
      <c r="AS36" s="64"/>
      <c r="AT36" s="64"/>
      <c r="AU36" s="64"/>
      <c r="AV36" s="65"/>
      <c r="AW36" s="64"/>
      <c r="AX36" s="64"/>
      <c r="AY36" s="64"/>
      <c r="AZ36" s="64"/>
      <c r="BA36" s="65"/>
      <c r="BB36" s="64"/>
      <c r="BC36" s="64"/>
      <c r="BD36" s="64"/>
      <c r="BE36" s="64"/>
      <c r="BF36" s="65"/>
      <c r="BG36" s="64"/>
      <c r="BH36" s="64"/>
      <c r="BI36" s="64"/>
      <c r="BJ36" s="64"/>
      <c r="BK36" s="67"/>
      <c r="BL36" s="66"/>
      <c r="BM36" s="64"/>
      <c r="BN36" s="64"/>
      <c r="BO36" s="64"/>
      <c r="BP36" s="65"/>
      <c r="BQ36" s="64"/>
      <c r="BR36" s="64"/>
      <c r="BS36" s="64"/>
      <c r="BT36" s="64"/>
      <c r="BU36" s="65"/>
      <c r="BV36" s="64"/>
      <c r="BW36" s="64"/>
      <c r="BX36" s="64"/>
      <c r="BY36" s="64"/>
      <c r="BZ36" s="67"/>
      <c r="CA36" s="64"/>
      <c r="CB36" s="64"/>
      <c r="CC36" s="64"/>
      <c r="CD36" s="64"/>
      <c r="CE36" s="65"/>
      <c r="CF36" s="64"/>
      <c r="CG36" s="64"/>
      <c r="CH36" s="64"/>
      <c r="CI36" s="64"/>
      <c r="CJ36" s="65"/>
      <c r="CK36" s="64"/>
      <c r="CL36" s="64"/>
      <c r="CM36" s="64"/>
      <c r="CN36" s="64"/>
      <c r="CO36" s="65"/>
      <c r="CP36" s="64"/>
      <c r="CQ36" s="64"/>
      <c r="CR36" s="64"/>
      <c r="CS36" s="64"/>
      <c r="CT36" s="65"/>
      <c r="CU36" s="64"/>
      <c r="CV36" s="64"/>
      <c r="CW36" s="64"/>
      <c r="CX36" s="64"/>
      <c r="CY36" s="65"/>
      <c r="CZ36" s="64"/>
      <c r="DA36" s="64"/>
      <c r="DB36" s="66"/>
      <c r="DC36" s="64"/>
      <c r="DD36" s="65"/>
      <c r="DE36" s="64"/>
      <c r="DF36" s="64"/>
      <c r="DG36" s="64"/>
      <c r="DH36" s="64"/>
      <c r="DI36" s="65"/>
      <c r="DJ36" s="64"/>
      <c r="DK36" s="64"/>
      <c r="DL36" s="64"/>
      <c r="DM36" s="64"/>
      <c r="DN36" s="65"/>
      <c r="DO36" s="64"/>
      <c r="DP36" s="64"/>
      <c r="DQ36" s="64"/>
      <c r="DR36" s="64"/>
      <c r="DS36" s="65"/>
      <c r="DT36" s="66"/>
      <c r="DU36" s="64"/>
      <c r="DV36" s="64"/>
      <c r="DW36" s="64"/>
      <c r="DX36" s="65"/>
      <c r="DY36" s="64"/>
      <c r="DZ36" s="64"/>
      <c r="EA36" s="66"/>
      <c r="EB36" s="64"/>
      <c r="EC36" s="65"/>
      <c r="ED36" s="64"/>
      <c r="EE36" s="64"/>
      <c r="EF36" s="64"/>
      <c r="EG36" s="64"/>
      <c r="EH36" s="65"/>
      <c r="EI36" s="64"/>
      <c r="EJ36" s="64"/>
      <c r="EK36" s="64"/>
      <c r="EL36" s="64"/>
      <c r="EM36" s="65"/>
      <c r="EN36" s="64"/>
      <c r="EO36" s="64"/>
      <c r="EP36" s="64"/>
      <c r="EQ36" s="66"/>
      <c r="ER36" s="65"/>
      <c r="ES36" s="64"/>
      <c r="ET36" s="64"/>
      <c r="EU36" s="64"/>
      <c r="EV36" s="64"/>
      <c r="EW36" s="65"/>
      <c r="EX36" s="64"/>
      <c r="EY36" s="64"/>
      <c r="EZ36" s="64"/>
      <c r="FA36" s="64"/>
      <c r="FB36" s="65"/>
      <c r="FC36" s="64"/>
      <c r="FD36" s="64"/>
      <c r="FE36" s="64"/>
      <c r="FF36" s="64"/>
      <c r="FG36" s="64"/>
    </row>
    <row r="37" spans="1:163" ht="19.5" customHeight="1">
      <c r="A37" s="32"/>
      <c r="B37" s="92"/>
      <c r="C37" s="93"/>
      <c r="D37" s="73"/>
      <c r="E37" s="74"/>
      <c r="F37" s="166" t="s">
        <v>100</v>
      </c>
      <c r="G37" s="167"/>
      <c r="H37" s="75" t="s">
        <v>43</v>
      </c>
      <c r="I37" s="105" t="s">
        <v>35</v>
      </c>
      <c r="J37" s="105"/>
      <c r="K37" s="105" t="s">
        <v>101</v>
      </c>
      <c r="L37" s="77">
        <v>46329</v>
      </c>
      <c r="M37" s="77">
        <v>46329</v>
      </c>
      <c r="N37" s="77"/>
      <c r="O37" s="77"/>
      <c r="P37" s="76">
        <f>NETWORKDAYS(L37,M37,휴일!$A$2:$A$8)</f>
        <v>1</v>
      </c>
      <c r="Q37" s="78">
        <f>IF(NETWORKDAYS(N37,O37,휴일!$A$2:$A$8)&lt;0,"",NETWORKDAYS(N37,O37,휴일!$A$2:$A$8))</f>
        <v>0</v>
      </c>
      <c r="R37" s="76" t="str">
        <f>IFERROR(IF(M37&gt;=$M$1,IF(NETWORKDAYS(L37,$M$1,휴일!$A$2:$A$8)&gt;0,NETWORKDAYS(L37,$M$1,휴일!$A$2:$A$8),""),NETWORKDAYS(L37,M37,휴일!$A$2:$A$8)),"")</f>
        <v/>
      </c>
      <c r="S37" s="80">
        <f>IF(IFERROR(IF(O37&gt;=$M$1,IF(NETWORKDAYS(N37,$M$1,휴일!$A$2:$A$8)&gt;0,NETWORKDAYS(N37,$M$1,휴일!$A$2:$A$8),""),NETWORKDAYS(N37,O37,휴일!$A$2:$A$8)),"")&lt;0,"",IFERROR(IF(O37&gt;=$M$1,IF(NETWORKDAYS(N37,$M$1,휴일!$A$2:$A$8)&gt;0,NETWORKDAYS(N37,$M$1,휴일!$A$2:$A$8),""),NETWORKDAYS(N37,O37,휴일!$A$2:$A$8)),""))</f>
        <v>0</v>
      </c>
      <c r="T37" s="43">
        <f t="shared" si="2"/>
        <v>0</v>
      </c>
      <c r="U37" s="44">
        <f t="shared" si="3"/>
        <v>0</v>
      </c>
      <c r="V37" s="45">
        <f t="shared" si="4"/>
        <v>0</v>
      </c>
      <c r="W37" s="45">
        <f t="shared" si="1"/>
        <v>0</v>
      </c>
      <c r="X37" s="81"/>
      <c r="Y37" s="82"/>
      <c r="Z37" s="82"/>
      <c r="AA37" s="82"/>
      <c r="AB37" s="83"/>
      <c r="AC37" s="82"/>
      <c r="AD37" s="82"/>
      <c r="AE37" s="82"/>
      <c r="AF37" s="82"/>
      <c r="AG37" s="83"/>
      <c r="AH37" s="84"/>
      <c r="AI37" s="82"/>
      <c r="AJ37" s="82"/>
      <c r="AK37" s="82"/>
      <c r="AL37" s="83"/>
      <c r="AM37" s="82"/>
      <c r="AN37" s="82"/>
      <c r="AO37" s="82"/>
      <c r="AP37" s="82"/>
      <c r="AQ37" s="83"/>
      <c r="AR37" s="82"/>
      <c r="AS37" s="82"/>
      <c r="AT37" s="82"/>
      <c r="AU37" s="82"/>
      <c r="AV37" s="83"/>
      <c r="AW37" s="82"/>
      <c r="AX37" s="82"/>
      <c r="AY37" s="82"/>
      <c r="AZ37" s="82"/>
      <c r="BA37" s="83"/>
      <c r="BB37" s="82"/>
      <c r="BC37" s="82"/>
      <c r="BD37" s="82"/>
      <c r="BE37" s="82"/>
      <c r="BF37" s="83"/>
      <c r="BG37" s="82"/>
      <c r="BH37" s="82"/>
      <c r="BI37" s="82"/>
      <c r="BJ37" s="82"/>
      <c r="BK37" s="85"/>
      <c r="BL37" s="84"/>
      <c r="BM37" s="82"/>
      <c r="BN37" s="82"/>
      <c r="BO37" s="82"/>
      <c r="BP37" s="83"/>
      <c r="BQ37" s="82"/>
      <c r="BR37" s="82"/>
      <c r="BS37" s="82"/>
      <c r="BT37" s="82"/>
      <c r="BU37" s="83"/>
      <c r="BV37" s="82"/>
      <c r="BW37" s="82"/>
      <c r="BX37" s="82"/>
      <c r="BY37" s="82"/>
      <c r="BZ37" s="85"/>
      <c r="CA37" s="82"/>
      <c r="CB37" s="82"/>
      <c r="CC37" s="82"/>
      <c r="CD37" s="82"/>
      <c r="CE37" s="83"/>
      <c r="CF37" s="82"/>
      <c r="CG37" s="82"/>
      <c r="CH37" s="82"/>
      <c r="CI37" s="82"/>
      <c r="CJ37" s="83"/>
      <c r="CK37" s="82"/>
      <c r="CL37" s="82"/>
      <c r="CM37" s="82"/>
      <c r="CN37" s="82"/>
      <c r="CO37" s="83"/>
      <c r="CP37" s="82"/>
      <c r="CQ37" s="82"/>
      <c r="CR37" s="82"/>
      <c r="CS37" s="82"/>
      <c r="CT37" s="83"/>
      <c r="CU37" s="82"/>
      <c r="CV37" s="82"/>
      <c r="CW37" s="82"/>
      <c r="CX37" s="82"/>
      <c r="CY37" s="83"/>
      <c r="CZ37" s="82"/>
      <c r="DA37" s="82"/>
      <c r="DB37" s="84"/>
      <c r="DC37" s="82"/>
      <c r="DD37" s="83"/>
      <c r="DE37" s="82"/>
      <c r="DF37" s="82"/>
      <c r="DG37" s="82"/>
      <c r="DH37" s="82"/>
      <c r="DI37" s="83"/>
      <c r="DJ37" s="82"/>
      <c r="DK37" s="82"/>
      <c r="DL37" s="82"/>
      <c r="DM37" s="82"/>
      <c r="DN37" s="83"/>
      <c r="DO37" s="82"/>
      <c r="DP37" s="82"/>
      <c r="DQ37" s="82"/>
      <c r="DR37" s="82"/>
      <c r="DS37" s="83"/>
      <c r="DT37" s="84"/>
      <c r="DU37" s="82"/>
      <c r="DV37" s="82"/>
      <c r="DW37" s="82"/>
      <c r="DX37" s="83"/>
      <c r="DY37" s="82"/>
      <c r="DZ37" s="82"/>
      <c r="EA37" s="84"/>
      <c r="EB37" s="82"/>
      <c r="EC37" s="83"/>
      <c r="ED37" s="82"/>
      <c r="EE37" s="82"/>
      <c r="EF37" s="82"/>
      <c r="EG37" s="82"/>
      <c r="EH37" s="83"/>
      <c r="EI37" s="82"/>
      <c r="EJ37" s="82"/>
      <c r="EK37" s="82"/>
      <c r="EL37" s="82"/>
      <c r="EM37" s="83"/>
      <c r="EN37" s="82"/>
      <c r="EO37" s="82"/>
      <c r="EP37" s="82"/>
      <c r="EQ37" s="84"/>
      <c r="ER37" s="83"/>
      <c r="ES37" s="82"/>
      <c r="ET37" s="82"/>
      <c r="EU37" s="82"/>
      <c r="EV37" s="82"/>
      <c r="EW37" s="83"/>
      <c r="EX37" s="82"/>
      <c r="EY37" s="82"/>
      <c r="EZ37" s="82"/>
      <c r="FA37" s="82"/>
      <c r="FB37" s="83"/>
      <c r="FC37" s="82"/>
      <c r="FD37" s="82"/>
      <c r="FE37" s="82"/>
      <c r="FF37" s="82"/>
      <c r="FG37" s="82"/>
    </row>
    <row r="38" spans="1:163" ht="19.5" customHeight="1">
      <c r="A38" s="32"/>
      <c r="B38" s="62">
        <v>5</v>
      </c>
      <c r="C38" s="87">
        <v>0.15</v>
      </c>
      <c r="D38" s="35" t="s">
        <v>102</v>
      </c>
      <c r="E38" s="96"/>
      <c r="F38" s="207" t="s">
        <v>103</v>
      </c>
      <c r="G38" s="178"/>
      <c r="H38" s="137" t="s">
        <v>36</v>
      </c>
      <c r="I38" s="138" t="s">
        <v>43</v>
      </c>
      <c r="J38" s="138" t="s">
        <v>35</v>
      </c>
      <c r="K38" s="138" t="s">
        <v>104</v>
      </c>
      <c r="L38" s="39">
        <v>46330</v>
      </c>
      <c r="M38" s="39">
        <v>46330</v>
      </c>
      <c r="N38" s="39"/>
      <c r="O38" s="39"/>
      <c r="P38" s="38">
        <f>NETWORKDAYS(L38,M38,휴일!$A$2:$A$8)</f>
        <v>1</v>
      </c>
      <c r="Q38" s="41">
        <f>IF(NETWORKDAYS(N38,O38,휴일!$A$2:$A$8)&lt;0,"",NETWORKDAYS(N38,O38,휴일!$A$2:$A$8))</f>
        <v>0</v>
      </c>
      <c r="R38" s="38" t="str">
        <f>IFERROR(IF(M38&gt;=$M$1,IF(NETWORKDAYS(L38,$M$1,휴일!$A$2:$A$8)&gt;0,NETWORKDAYS(L38,$M$1,휴일!$A$2:$A$8),""),NETWORKDAYS(L38,M38,휴일!$A$2:$A$8)),"")</f>
        <v/>
      </c>
      <c r="S38" s="42">
        <f>IF(IFERROR(IF(O38&gt;=$M$1,IF(NETWORKDAYS(N38,$M$1,휴일!$A$2:$A$8)&gt;0,NETWORKDAYS(N38,$M$1,휴일!$A$2:$A$8),""),NETWORKDAYS(N38,O38,휴일!$A$2:$A$8)),"")&lt;0,"",IFERROR(IF(O38&gt;=$M$1,IF(NETWORKDAYS(N38,$M$1,휴일!$A$2:$A$8)&gt;0,NETWORKDAYS(N38,$M$1,휴일!$A$2:$A$8),""),NETWORKDAYS(N38,O38,휴일!$A$2:$A$8)),""))</f>
        <v>0</v>
      </c>
      <c r="T38" s="43">
        <f t="shared" si="2"/>
        <v>0</v>
      </c>
      <c r="U38" s="44">
        <f t="shared" si="3"/>
        <v>0</v>
      </c>
      <c r="V38" s="45">
        <f t="shared" si="4"/>
        <v>0</v>
      </c>
      <c r="W38" s="45">
        <f t="shared" si="1"/>
        <v>0</v>
      </c>
      <c r="X38" s="46"/>
      <c r="Y38" s="46"/>
      <c r="Z38" s="46"/>
      <c r="AA38" s="46"/>
      <c r="AB38" s="56"/>
      <c r="AC38" s="46"/>
      <c r="AD38" s="46"/>
      <c r="AE38" s="46"/>
      <c r="AF38" s="46"/>
      <c r="AG38" s="56"/>
      <c r="AH38" s="49"/>
      <c r="AI38" s="46"/>
      <c r="AJ38" s="46"/>
      <c r="AK38" s="46"/>
      <c r="AL38" s="56"/>
      <c r="AM38" s="46"/>
      <c r="AN38" s="46"/>
      <c r="AO38" s="46"/>
      <c r="AP38" s="46"/>
      <c r="AQ38" s="56"/>
      <c r="AR38" s="46"/>
      <c r="AS38" s="46"/>
      <c r="AT38" s="46"/>
      <c r="AU38" s="46"/>
      <c r="AV38" s="56"/>
      <c r="AW38" s="46"/>
      <c r="AX38" s="46"/>
      <c r="AY38" s="46"/>
      <c r="AZ38" s="46"/>
      <c r="BA38" s="56"/>
      <c r="BB38" s="46"/>
      <c r="BC38" s="46"/>
      <c r="BD38" s="46"/>
      <c r="BE38" s="46"/>
      <c r="BF38" s="56"/>
      <c r="BG38" s="46"/>
      <c r="BH38" s="46"/>
      <c r="BI38" s="46"/>
      <c r="BJ38" s="46"/>
      <c r="BK38" s="57"/>
      <c r="BL38" s="49"/>
      <c r="BM38" s="46"/>
      <c r="BN38" s="46"/>
      <c r="BO38" s="46"/>
      <c r="BP38" s="56"/>
      <c r="BQ38" s="46"/>
      <c r="BR38" s="46"/>
      <c r="BS38" s="46"/>
      <c r="BT38" s="46"/>
      <c r="BU38" s="56"/>
      <c r="BV38" s="46"/>
      <c r="BW38" s="46"/>
      <c r="BX38" s="46"/>
      <c r="BY38" s="46"/>
      <c r="BZ38" s="57"/>
      <c r="CA38" s="46"/>
      <c r="CB38" s="46"/>
      <c r="CC38" s="46"/>
      <c r="CD38" s="46"/>
      <c r="CE38" s="56"/>
      <c r="CF38" s="46"/>
      <c r="CG38" s="46"/>
      <c r="CH38" s="46"/>
      <c r="CI38" s="46"/>
      <c r="CJ38" s="56"/>
      <c r="CK38" s="46"/>
      <c r="CL38" s="46"/>
      <c r="CM38" s="46"/>
      <c r="CN38" s="46"/>
      <c r="CO38" s="56"/>
      <c r="CP38" s="46"/>
      <c r="CQ38" s="46"/>
      <c r="CR38" s="46"/>
      <c r="CS38" s="46"/>
      <c r="CT38" s="56"/>
      <c r="CU38" s="46"/>
      <c r="CV38" s="46"/>
      <c r="CW38" s="46"/>
      <c r="CX38" s="46"/>
      <c r="CY38" s="56"/>
      <c r="CZ38" s="46"/>
      <c r="DA38" s="46"/>
      <c r="DB38" s="49"/>
      <c r="DC38" s="46"/>
      <c r="DD38" s="56"/>
      <c r="DE38" s="46"/>
      <c r="DF38" s="46"/>
      <c r="DG38" s="46"/>
      <c r="DH38" s="46"/>
      <c r="DI38" s="56"/>
      <c r="DJ38" s="46"/>
      <c r="DK38" s="46"/>
      <c r="DL38" s="46"/>
      <c r="DM38" s="46"/>
      <c r="DN38" s="56"/>
      <c r="DO38" s="46"/>
      <c r="DP38" s="46"/>
      <c r="DQ38" s="46"/>
      <c r="DR38" s="46"/>
      <c r="DS38" s="56"/>
      <c r="DT38" s="49"/>
      <c r="DU38" s="46"/>
      <c r="DV38" s="46"/>
      <c r="DW38" s="46"/>
      <c r="DX38" s="56"/>
      <c r="DY38" s="46"/>
      <c r="DZ38" s="46"/>
      <c r="EA38" s="49"/>
      <c r="EB38" s="46"/>
      <c r="EC38" s="56"/>
      <c r="ED38" s="46"/>
      <c r="EE38" s="46"/>
      <c r="EF38" s="46"/>
      <c r="EG38" s="46"/>
      <c r="EH38" s="56"/>
      <c r="EI38" s="46"/>
      <c r="EJ38" s="46"/>
      <c r="EK38" s="46"/>
      <c r="EL38" s="46"/>
      <c r="EM38" s="56"/>
      <c r="EN38" s="46"/>
      <c r="EO38" s="46"/>
      <c r="EP38" s="46"/>
      <c r="EQ38" s="49"/>
      <c r="ER38" s="56"/>
      <c r="ES38" s="46"/>
      <c r="ET38" s="46"/>
      <c r="EU38" s="46"/>
      <c r="EV38" s="46"/>
      <c r="EW38" s="56"/>
      <c r="EX38" s="46"/>
      <c r="EY38" s="46"/>
      <c r="EZ38" s="46"/>
      <c r="FA38" s="46"/>
      <c r="FB38" s="56"/>
      <c r="FC38" s="46"/>
      <c r="FD38" s="46"/>
      <c r="FE38" s="46"/>
      <c r="FF38" s="46"/>
      <c r="FG38" s="46"/>
    </row>
    <row r="39" spans="1:163" ht="19.5" customHeight="1">
      <c r="A39" s="32"/>
      <c r="B39" s="62"/>
      <c r="C39" s="89"/>
      <c r="D39" s="35"/>
      <c r="E39" s="96"/>
      <c r="F39" s="186" t="s">
        <v>105</v>
      </c>
      <c r="G39" s="176"/>
      <c r="H39" s="90" t="s">
        <v>43</v>
      </c>
      <c r="I39" s="91"/>
      <c r="J39" s="91"/>
      <c r="K39" s="91" t="s">
        <v>106</v>
      </c>
      <c r="L39" s="63">
        <v>46330</v>
      </c>
      <c r="M39" s="63">
        <v>46330</v>
      </c>
      <c r="N39" s="63"/>
      <c r="O39" s="63"/>
      <c r="P39" s="40">
        <f>NETWORKDAYS(L39,M39,휴일!$A$2:$A$8)</f>
        <v>1</v>
      </c>
      <c r="Q39" s="41">
        <f>IF(NETWORKDAYS(N39,O39,휴일!$A$2:$A$8)&lt;0,"",NETWORKDAYS(N39,O39,휴일!$A$2:$A$8))</f>
        <v>0</v>
      </c>
      <c r="R39" s="40" t="str">
        <f>IFERROR(IF(M39&gt;=$M$1,IF(NETWORKDAYS(L39,$M$1,휴일!$A$2:$A$8)&gt;0,NETWORKDAYS(L39,$M$1,휴일!$A$2:$A$8),""),NETWORKDAYS(L39,M39,휴일!$A$2:$A$8)),"")</f>
        <v/>
      </c>
      <c r="S39" s="42">
        <f>IF(IFERROR(IF(O39&gt;=$M$1,IF(NETWORKDAYS(N39,$M$1,휴일!$A$2:$A$8)&gt;0,NETWORKDAYS(N39,$M$1,휴일!$A$2:$A$8),""),NETWORKDAYS(N39,O39,휴일!$A$2:$A$8)),"")&lt;0,"",IFERROR(IF(O39&gt;=$M$1,IF(NETWORKDAYS(N39,$M$1,휴일!$A$2:$A$8)&gt;0,NETWORKDAYS(N39,$M$1,휴일!$A$2:$A$8),""),NETWORKDAYS(N39,O39,휴일!$A$2:$A$8)),""))</f>
        <v>0</v>
      </c>
      <c r="T39" s="43">
        <f t="shared" si="2"/>
        <v>0</v>
      </c>
      <c r="U39" s="44">
        <f t="shared" si="3"/>
        <v>0</v>
      </c>
      <c r="V39" s="45">
        <f t="shared" si="4"/>
        <v>0</v>
      </c>
      <c r="W39" s="45">
        <f t="shared" si="1"/>
        <v>0</v>
      </c>
      <c r="X39" s="46"/>
      <c r="Y39" s="64"/>
      <c r="Z39" s="64"/>
      <c r="AA39" s="64"/>
      <c r="AB39" s="65"/>
      <c r="AC39" s="64"/>
      <c r="AD39" s="64"/>
      <c r="AE39" s="64"/>
      <c r="AF39" s="64"/>
      <c r="AG39" s="65"/>
      <c r="AH39" s="66"/>
      <c r="AI39" s="64"/>
      <c r="AJ39" s="64"/>
      <c r="AK39" s="64"/>
      <c r="AL39" s="65"/>
      <c r="AM39" s="64"/>
      <c r="AN39" s="64"/>
      <c r="AO39" s="64"/>
      <c r="AP39" s="64"/>
      <c r="AQ39" s="65"/>
      <c r="AR39" s="64"/>
      <c r="AS39" s="64"/>
      <c r="AT39" s="64"/>
      <c r="AU39" s="64"/>
      <c r="AV39" s="65"/>
      <c r="AW39" s="64"/>
      <c r="AX39" s="64"/>
      <c r="AY39" s="64"/>
      <c r="AZ39" s="64"/>
      <c r="BA39" s="65"/>
      <c r="BB39" s="64"/>
      <c r="BC39" s="64"/>
      <c r="BD39" s="64"/>
      <c r="BE39" s="64"/>
      <c r="BF39" s="65"/>
      <c r="BG39" s="64"/>
      <c r="BH39" s="64"/>
      <c r="BI39" s="64"/>
      <c r="BJ39" s="64"/>
      <c r="BK39" s="67"/>
      <c r="BL39" s="66"/>
      <c r="BM39" s="64"/>
      <c r="BN39" s="64"/>
      <c r="BO39" s="64"/>
      <c r="BP39" s="65"/>
      <c r="BQ39" s="64"/>
      <c r="BR39" s="64"/>
      <c r="BS39" s="64"/>
      <c r="BT39" s="64"/>
      <c r="BU39" s="65"/>
      <c r="BV39" s="64"/>
      <c r="BW39" s="64"/>
      <c r="BX39" s="64"/>
      <c r="BY39" s="64"/>
      <c r="BZ39" s="67"/>
      <c r="CA39" s="64"/>
      <c r="CB39" s="64"/>
      <c r="CC39" s="64"/>
      <c r="CD39" s="64"/>
      <c r="CE39" s="65"/>
      <c r="CF39" s="64"/>
      <c r="CG39" s="64"/>
      <c r="CH39" s="64"/>
      <c r="CI39" s="64"/>
      <c r="CJ39" s="65"/>
      <c r="CK39" s="64"/>
      <c r="CL39" s="64"/>
      <c r="CM39" s="64"/>
      <c r="CN39" s="64"/>
      <c r="CO39" s="65"/>
      <c r="CP39" s="64"/>
      <c r="CQ39" s="64"/>
      <c r="CR39" s="64"/>
      <c r="CS39" s="64"/>
      <c r="CT39" s="65"/>
      <c r="CU39" s="64"/>
      <c r="CV39" s="64"/>
      <c r="CW39" s="64"/>
      <c r="CX39" s="64"/>
      <c r="CY39" s="65"/>
      <c r="CZ39" s="64"/>
      <c r="DA39" s="64"/>
      <c r="DB39" s="66"/>
      <c r="DC39" s="64"/>
      <c r="DD39" s="65"/>
      <c r="DE39" s="64"/>
      <c r="DF39" s="64"/>
      <c r="DG39" s="64"/>
      <c r="DH39" s="64"/>
      <c r="DI39" s="65"/>
      <c r="DJ39" s="64"/>
      <c r="DK39" s="64"/>
      <c r="DL39" s="64"/>
      <c r="DM39" s="64"/>
      <c r="DN39" s="65"/>
      <c r="DO39" s="64"/>
      <c r="DP39" s="64"/>
      <c r="DQ39" s="64"/>
      <c r="DR39" s="64"/>
      <c r="DS39" s="65"/>
      <c r="DT39" s="66"/>
      <c r="DU39" s="64"/>
      <c r="DV39" s="64"/>
      <c r="DW39" s="64"/>
      <c r="DX39" s="65"/>
      <c r="DY39" s="64"/>
      <c r="DZ39" s="64"/>
      <c r="EA39" s="66"/>
      <c r="EB39" s="64"/>
      <c r="EC39" s="65"/>
      <c r="ED39" s="64"/>
      <c r="EE39" s="64"/>
      <c r="EF39" s="64"/>
      <c r="EG39" s="64"/>
      <c r="EH39" s="65"/>
      <c r="EI39" s="64"/>
      <c r="EJ39" s="64"/>
      <c r="EK39" s="64"/>
      <c r="EL39" s="64"/>
      <c r="EM39" s="65"/>
      <c r="EN39" s="64"/>
      <c r="EO39" s="64"/>
      <c r="EP39" s="64"/>
      <c r="EQ39" s="66"/>
      <c r="ER39" s="65"/>
      <c r="ES39" s="64"/>
      <c r="ET39" s="64"/>
      <c r="EU39" s="64"/>
      <c r="EV39" s="64"/>
      <c r="EW39" s="65"/>
      <c r="EX39" s="64"/>
      <c r="EY39" s="64"/>
      <c r="EZ39" s="64"/>
      <c r="FA39" s="64"/>
      <c r="FB39" s="65"/>
      <c r="FC39" s="64"/>
      <c r="FD39" s="64"/>
      <c r="FE39" s="64"/>
      <c r="FF39" s="64"/>
      <c r="FG39" s="64"/>
    </row>
    <row r="40" spans="1:163" ht="19.5" customHeight="1">
      <c r="A40" s="32"/>
      <c r="B40" s="62"/>
      <c r="C40" s="89"/>
      <c r="D40" s="35"/>
      <c r="E40" s="96"/>
      <c r="F40" s="186" t="s">
        <v>107</v>
      </c>
      <c r="G40" s="176"/>
      <c r="H40" s="90" t="s">
        <v>35</v>
      </c>
      <c r="I40" s="91" t="s">
        <v>36</v>
      </c>
      <c r="J40" s="91"/>
      <c r="K40" s="91" t="s">
        <v>108</v>
      </c>
      <c r="L40" s="63">
        <v>46329</v>
      </c>
      <c r="M40" s="63">
        <v>46330</v>
      </c>
      <c r="N40" s="63"/>
      <c r="O40" s="63"/>
      <c r="P40" s="40">
        <f>NETWORKDAYS(L40,M40,휴일!$A$2:$A$8)</f>
        <v>2</v>
      </c>
      <c r="Q40" s="41">
        <f>IF(NETWORKDAYS(N40,O40,휴일!$A$2:$A$8)&lt;0,"",NETWORKDAYS(N40,O40,휴일!$A$2:$A$8))</f>
        <v>0</v>
      </c>
      <c r="R40" s="40" t="str">
        <f>IFERROR(IF(M40&gt;=$M$1,IF(NETWORKDAYS(L40,$M$1,휴일!$A$2:$A$8)&gt;0,NETWORKDAYS(L40,$M$1,휴일!$A$2:$A$8),""),NETWORKDAYS(L40,M40,휴일!$A$2:$A$8)),"")</f>
        <v/>
      </c>
      <c r="S40" s="42">
        <f>IF(IFERROR(IF(O40&gt;=$M$1,IF(NETWORKDAYS(N40,$M$1,휴일!$A$2:$A$8)&gt;0,NETWORKDAYS(N40,$M$1,휴일!$A$2:$A$8),""),NETWORKDAYS(N40,O40,휴일!$A$2:$A$8)),"")&lt;0,"",IFERROR(IF(O40&gt;=$M$1,IF(NETWORKDAYS(N40,$M$1,휴일!$A$2:$A$8)&gt;0,NETWORKDAYS(N40,$M$1,휴일!$A$2:$A$8),""),NETWORKDAYS(N40,O40,휴일!$A$2:$A$8)),""))</f>
        <v>0</v>
      </c>
      <c r="T40" s="43">
        <f t="shared" si="2"/>
        <v>0</v>
      </c>
      <c r="U40" s="44">
        <f t="shared" si="3"/>
        <v>0</v>
      </c>
      <c r="V40" s="45">
        <f t="shared" si="4"/>
        <v>0</v>
      </c>
      <c r="W40" s="45">
        <f t="shared" si="1"/>
        <v>0</v>
      </c>
      <c r="X40" s="46"/>
      <c r="Y40" s="64"/>
      <c r="Z40" s="64"/>
      <c r="AA40" s="64"/>
      <c r="AB40" s="65"/>
      <c r="AC40" s="64"/>
      <c r="AD40" s="64"/>
      <c r="AE40" s="64"/>
      <c r="AF40" s="64"/>
      <c r="AG40" s="65"/>
      <c r="AH40" s="66"/>
      <c r="AI40" s="64"/>
      <c r="AJ40" s="64"/>
      <c r="AK40" s="64"/>
      <c r="AL40" s="65"/>
      <c r="AM40" s="64"/>
      <c r="AN40" s="64"/>
      <c r="AO40" s="64"/>
      <c r="AP40" s="64"/>
      <c r="AQ40" s="65"/>
      <c r="AR40" s="64"/>
      <c r="AS40" s="64"/>
      <c r="AT40" s="64"/>
      <c r="AU40" s="64"/>
      <c r="AV40" s="65"/>
      <c r="AW40" s="64"/>
      <c r="AX40" s="64"/>
      <c r="AY40" s="64"/>
      <c r="AZ40" s="64"/>
      <c r="BA40" s="65"/>
      <c r="BB40" s="64"/>
      <c r="BC40" s="64"/>
      <c r="BD40" s="64"/>
      <c r="BE40" s="64"/>
      <c r="BF40" s="65"/>
      <c r="BG40" s="64"/>
      <c r="BH40" s="64"/>
      <c r="BI40" s="64"/>
      <c r="BJ40" s="64"/>
      <c r="BK40" s="67"/>
      <c r="BL40" s="66"/>
      <c r="BM40" s="64"/>
      <c r="BN40" s="64"/>
      <c r="BO40" s="64"/>
      <c r="BP40" s="65"/>
      <c r="BQ40" s="64"/>
      <c r="BR40" s="64"/>
      <c r="BS40" s="64"/>
      <c r="BT40" s="64"/>
      <c r="BU40" s="65"/>
      <c r="BV40" s="64"/>
      <c r="BW40" s="64"/>
      <c r="BX40" s="64"/>
      <c r="BY40" s="64"/>
      <c r="BZ40" s="67"/>
      <c r="CA40" s="64"/>
      <c r="CB40" s="64"/>
      <c r="CC40" s="64"/>
      <c r="CD40" s="64"/>
      <c r="CE40" s="65"/>
      <c r="CF40" s="64"/>
      <c r="CG40" s="64"/>
      <c r="CH40" s="64"/>
      <c r="CI40" s="64"/>
      <c r="CJ40" s="65"/>
      <c r="CK40" s="64"/>
      <c r="CL40" s="64"/>
      <c r="CM40" s="64"/>
      <c r="CN40" s="64"/>
      <c r="CO40" s="65"/>
      <c r="CP40" s="64"/>
      <c r="CQ40" s="64"/>
      <c r="CR40" s="64"/>
      <c r="CS40" s="64"/>
      <c r="CT40" s="65"/>
      <c r="CU40" s="64"/>
      <c r="CV40" s="64"/>
      <c r="CW40" s="64"/>
      <c r="CX40" s="64"/>
      <c r="CY40" s="65"/>
      <c r="CZ40" s="64"/>
      <c r="DA40" s="64"/>
      <c r="DB40" s="66"/>
      <c r="DC40" s="64"/>
      <c r="DD40" s="65"/>
      <c r="DE40" s="64"/>
      <c r="DF40" s="64"/>
      <c r="DG40" s="64"/>
      <c r="DH40" s="64"/>
      <c r="DI40" s="65"/>
      <c r="DJ40" s="64"/>
      <c r="DK40" s="64"/>
      <c r="DL40" s="64"/>
      <c r="DM40" s="64"/>
      <c r="DN40" s="65"/>
      <c r="DO40" s="64"/>
      <c r="DP40" s="64"/>
      <c r="DQ40" s="64"/>
      <c r="DR40" s="64"/>
      <c r="DS40" s="65"/>
      <c r="DT40" s="66"/>
      <c r="DU40" s="64"/>
      <c r="DV40" s="64"/>
      <c r="DW40" s="64"/>
      <c r="DX40" s="65"/>
      <c r="DY40" s="64"/>
      <c r="DZ40" s="64"/>
      <c r="EA40" s="66"/>
      <c r="EB40" s="64"/>
      <c r="EC40" s="65"/>
      <c r="ED40" s="64"/>
      <c r="EE40" s="64"/>
      <c r="EF40" s="64"/>
      <c r="EG40" s="64"/>
      <c r="EH40" s="65"/>
      <c r="EI40" s="64"/>
      <c r="EJ40" s="64"/>
      <c r="EK40" s="64"/>
      <c r="EL40" s="64"/>
      <c r="EM40" s="65"/>
      <c r="EN40" s="64"/>
      <c r="EO40" s="64"/>
      <c r="EP40" s="64"/>
      <c r="EQ40" s="66"/>
      <c r="ER40" s="65"/>
      <c r="ES40" s="64"/>
      <c r="ET40" s="64"/>
      <c r="EU40" s="64"/>
      <c r="EV40" s="64"/>
      <c r="EW40" s="65"/>
      <c r="EX40" s="64"/>
      <c r="EY40" s="64"/>
      <c r="EZ40" s="64"/>
      <c r="FA40" s="64"/>
      <c r="FB40" s="65"/>
      <c r="FC40" s="64"/>
      <c r="FD40" s="64"/>
      <c r="FE40" s="64"/>
      <c r="FF40" s="64"/>
      <c r="FG40" s="64"/>
    </row>
    <row r="41" spans="1:163" ht="19.5" customHeight="1">
      <c r="A41" s="139"/>
      <c r="B41" s="33"/>
      <c r="C41" s="89"/>
      <c r="D41" s="35"/>
      <c r="E41" s="96"/>
      <c r="F41" s="205" t="s">
        <v>109</v>
      </c>
      <c r="G41" s="176"/>
      <c r="H41" s="90" t="s">
        <v>36</v>
      </c>
      <c r="I41" s="91"/>
      <c r="J41" s="91"/>
      <c r="K41" s="91" t="s">
        <v>110</v>
      </c>
      <c r="L41" s="63">
        <v>46330</v>
      </c>
      <c r="M41" s="63">
        <v>46330</v>
      </c>
      <c r="N41" s="63"/>
      <c r="O41" s="63"/>
      <c r="P41" s="40">
        <f>NETWORKDAYS(L41,M41,휴일!$A$2:$A$8)</f>
        <v>1</v>
      </c>
      <c r="Q41" s="41">
        <f>IF(NETWORKDAYS(N41,O41,휴일!$A$2:$A$8)&lt;0,"",NETWORKDAYS(N41,O41,휴일!$A$2:$A$8))</f>
        <v>0</v>
      </c>
      <c r="R41" s="40" t="str">
        <f>IFERROR(IF(M41&gt;=$M$1,IF(NETWORKDAYS(L41,$M$1,휴일!$A$2:$A$8)&gt;0,NETWORKDAYS(L41,$M$1,휴일!$A$2:$A$8),""),NETWORKDAYS(L41,M41,휴일!$A$2:$A$8)),"")</f>
        <v/>
      </c>
      <c r="S41" s="42">
        <f>IF(IFERROR(IF(O41&gt;=$M$1,IF(NETWORKDAYS(N41,$M$1,휴일!$A$2:$A$8)&gt;0,NETWORKDAYS(N41,$M$1,휴일!$A$2:$A$8),""),NETWORKDAYS(N41,O41,휴일!$A$2:$A$8)),"")&lt;0,"",IFERROR(IF(O41&gt;=$M$1,IF(NETWORKDAYS(N41,$M$1,휴일!$A$2:$A$8)&gt;0,NETWORKDAYS(N41,$M$1,휴일!$A$2:$A$8),""),NETWORKDAYS(N41,O41,휴일!$A$2:$A$8)),""))</f>
        <v>0</v>
      </c>
      <c r="T41" s="43">
        <f t="shared" si="2"/>
        <v>0</v>
      </c>
      <c r="U41" s="44">
        <f t="shared" si="3"/>
        <v>0</v>
      </c>
      <c r="V41" s="45">
        <f t="shared" si="4"/>
        <v>0</v>
      </c>
      <c r="W41" s="45">
        <f t="shared" si="1"/>
        <v>0</v>
      </c>
      <c r="X41" s="46"/>
      <c r="Y41" s="64"/>
      <c r="Z41" s="64"/>
      <c r="AA41" s="64"/>
      <c r="AB41" s="65"/>
      <c r="AC41" s="64"/>
      <c r="AD41" s="64"/>
      <c r="AE41" s="64"/>
      <c r="AF41" s="64"/>
      <c r="AG41" s="65"/>
      <c r="AH41" s="66"/>
      <c r="AI41" s="64"/>
      <c r="AJ41" s="64"/>
      <c r="AK41" s="64"/>
      <c r="AL41" s="65"/>
      <c r="AM41" s="64"/>
      <c r="AN41" s="64"/>
      <c r="AO41" s="64"/>
      <c r="AP41" s="64"/>
      <c r="AQ41" s="65"/>
      <c r="AR41" s="64"/>
      <c r="AS41" s="64"/>
      <c r="AT41" s="64"/>
      <c r="AU41" s="64"/>
      <c r="AV41" s="65"/>
      <c r="AW41" s="64"/>
      <c r="AX41" s="64"/>
      <c r="AY41" s="64"/>
      <c r="AZ41" s="64"/>
      <c r="BA41" s="65"/>
      <c r="BB41" s="64"/>
      <c r="BC41" s="64"/>
      <c r="BD41" s="64"/>
      <c r="BE41" s="64"/>
      <c r="BF41" s="65"/>
      <c r="BG41" s="64"/>
      <c r="BH41" s="64"/>
      <c r="BI41" s="64"/>
      <c r="BJ41" s="64"/>
      <c r="BK41" s="67"/>
      <c r="BL41" s="66"/>
      <c r="BM41" s="64"/>
      <c r="BN41" s="64"/>
      <c r="BO41" s="64"/>
      <c r="BP41" s="65"/>
      <c r="BQ41" s="64"/>
      <c r="BR41" s="64"/>
      <c r="BS41" s="64"/>
      <c r="BT41" s="64"/>
      <c r="BU41" s="65"/>
      <c r="BV41" s="64"/>
      <c r="BW41" s="64"/>
      <c r="BX41" s="64"/>
      <c r="BY41" s="64"/>
      <c r="BZ41" s="67"/>
      <c r="CA41" s="64"/>
      <c r="CB41" s="64"/>
      <c r="CC41" s="64"/>
      <c r="CD41" s="64"/>
      <c r="CE41" s="65"/>
      <c r="CF41" s="64"/>
      <c r="CG41" s="64"/>
      <c r="CH41" s="64"/>
      <c r="CI41" s="64"/>
      <c r="CJ41" s="65"/>
      <c r="CK41" s="64"/>
      <c r="CL41" s="64"/>
      <c r="CM41" s="64"/>
      <c r="CN41" s="64"/>
      <c r="CO41" s="65"/>
      <c r="CP41" s="64"/>
      <c r="CQ41" s="64"/>
      <c r="CR41" s="64"/>
      <c r="CS41" s="64"/>
      <c r="CT41" s="65"/>
      <c r="CU41" s="64"/>
      <c r="CV41" s="64"/>
      <c r="CW41" s="64"/>
      <c r="CX41" s="64"/>
      <c r="CY41" s="65"/>
      <c r="CZ41" s="64"/>
      <c r="DA41" s="64"/>
      <c r="DB41" s="66"/>
      <c r="DC41" s="64"/>
      <c r="DD41" s="65"/>
      <c r="DE41" s="64"/>
      <c r="DF41" s="64"/>
      <c r="DG41" s="64"/>
      <c r="DH41" s="64"/>
      <c r="DI41" s="65"/>
      <c r="DJ41" s="64"/>
      <c r="DK41" s="64"/>
      <c r="DL41" s="64"/>
      <c r="DM41" s="64"/>
      <c r="DN41" s="65"/>
      <c r="DO41" s="64"/>
      <c r="DP41" s="64"/>
      <c r="DQ41" s="64"/>
      <c r="DR41" s="64"/>
      <c r="DS41" s="65"/>
      <c r="DT41" s="66"/>
      <c r="DU41" s="64"/>
      <c r="DV41" s="64"/>
      <c r="DW41" s="64"/>
      <c r="DX41" s="65"/>
      <c r="DY41" s="64"/>
      <c r="DZ41" s="64"/>
      <c r="EA41" s="66"/>
      <c r="EB41" s="64"/>
      <c r="EC41" s="65"/>
      <c r="ED41" s="64"/>
      <c r="EE41" s="64"/>
      <c r="EF41" s="64"/>
      <c r="EG41" s="64"/>
      <c r="EH41" s="65"/>
      <c r="EI41" s="64"/>
      <c r="EJ41" s="64"/>
      <c r="EK41" s="64"/>
      <c r="EL41" s="64"/>
      <c r="EM41" s="65"/>
      <c r="EN41" s="64"/>
      <c r="EO41" s="64"/>
      <c r="EP41" s="64"/>
      <c r="EQ41" s="66"/>
      <c r="ER41" s="65"/>
      <c r="ES41" s="64"/>
      <c r="ET41" s="64"/>
      <c r="EU41" s="64"/>
      <c r="EV41" s="64"/>
      <c r="EW41" s="65"/>
      <c r="EX41" s="64"/>
      <c r="EY41" s="64"/>
      <c r="EZ41" s="64"/>
      <c r="FA41" s="64"/>
      <c r="FB41" s="65"/>
      <c r="FC41" s="64"/>
      <c r="FD41" s="64"/>
      <c r="FE41" s="64"/>
      <c r="FF41" s="64"/>
      <c r="FG41" s="64"/>
    </row>
    <row r="42" spans="1:163" ht="19.5" customHeight="1">
      <c r="A42" s="140"/>
      <c r="B42" s="33"/>
      <c r="C42" s="89"/>
      <c r="D42" s="35"/>
      <c r="E42" s="96"/>
      <c r="F42" s="195" t="s">
        <v>111</v>
      </c>
      <c r="G42" s="176"/>
      <c r="H42" s="90" t="s">
        <v>35</v>
      </c>
      <c r="I42" s="91"/>
      <c r="J42" s="91"/>
      <c r="K42" s="91" t="s">
        <v>112</v>
      </c>
      <c r="L42" s="63">
        <v>46330</v>
      </c>
      <c r="M42" s="63">
        <v>46330</v>
      </c>
      <c r="N42" s="63"/>
      <c r="O42" s="63"/>
      <c r="P42" s="40">
        <f>NETWORKDAYS(L42,M42,휴일!$A$2:$A$8)</f>
        <v>1</v>
      </c>
      <c r="Q42" s="41">
        <f>IF(NETWORKDAYS(N42,O42,휴일!$A$2:$A$8)&lt;0,"",NETWORKDAYS(N42,O42,휴일!$A$2:$A$8))</f>
        <v>0</v>
      </c>
      <c r="R42" s="40" t="str">
        <f>IFERROR(IF(M42&gt;=$M$1,IF(NETWORKDAYS(L42,$M$1,휴일!$A$2:$A$8)&gt;0,NETWORKDAYS(L42,$M$1,휴일!$A$2:$A$8),""),NETWORKDAYS(L42,M42,휴일!$A$2:$A$8)),"")</f>
        <v/>
      </c>
      <c r="S42" s="42">
        <f>IF(IFERROR(IF(O42&gt;=$M$1,IF(NETWORKDAYS(N42,$M$1,휴일!$A$2:$A$8)&gt;0,NETWORKDAYS(N42,$M$1,휴일!$A$2:$A$8),""),NETWORKDAYS(N42,O42,휴일!$A$2:$A$8)),"")&lt;0,"",IFERROR(IF(O42&gt;=$M$1,IF(NETWORKDAYS(N42,$M$1,휴일!$A$2:$A$8)&gt;0,NETWORKDAYS(N42,$M$1,휴일!$A$2:$A$8),""),NETWORKDAYS(N42,O42,휴일!$A$2:$A$8)),""))</f>
        <v>0</v>
      </c>
      <c r="T42" s="43">
        <f t="shared" si="2"/>
        <v>0</v>
      </c>
      <c r="U42" s="44">
        <f t="shared" si="3"/>
        <v>0</v>
      </c>
      <c r="V42" s="45">
        <f t="shared" si="4"/>
        <v>0</v>
      </c>
      <c r="W42" s="45">
        <f t="shared" si="1"/>
        <v>0</v>
      </c>
      <c r="X42" s="46"/>
      <c r="Y42" s="64"/>
      <c r="Z42" s="64"/>
      <c r="AA42" s="64"/>
      <c r="AB42" s="65"/>
      <c r="AC42" s="64"/>
      <c r="AD42" s="64"/>
      <c r="AE42" s="64"/>
      <c r="AF42" s="64"/>
      <c r="AG42" s="65"/>
      <c r="AH42" s="66"/>
      <c r="AI42" s="64"/>
      <c r="AJ42" s="64"/>
      <c r="AK42" s="64"/>
      <c r="AL42" s="65"/>
      <c r="AM42" s="64"/>
      <c r="AN42" s="64"/>
      <c r="AO42" s="64"/>
      <c r="AP42" s="64"/>
      <c r="AQ42" s="65"/>
      <c r="AR42" s="64"/>
      <c r="AS42" s="64"/>
      <c r="AT42" s="64"/>
      <c r="AU42" s="64"/>
      <c r="AV42" s="65"/>
      <c r="AW42" s="64"/>
      <c r="AX42" s="64"/>
      <c r="AY42" s="64"/>
      <c r="AZ42" s="64"/>
      <c r="BA42" s="65"/>
      <c r="BB42" s="64"/>
      <c r="BC42" s="64"/>
      <c r="BD42" s="64"/>
      <c r="BE42" s="64"/>
      <c r="BF42" s="65"/>
      <c r="BG42" s="64"/>
      <c r="BH42" s="64"/>
      <c r="BI42" s="64"/>
      <c r="BJ42" s="64"/>
      <c r="BK42" s="67"/>
      <c r="BL42" s="66"/>
      <c r="BM42" s="64"/>
      <c r="BN42" s="64"/>
      <c r="BO42" s="64"/>
      <c r="BP42" s="65"/>
      <c r="BQ42" s="64"/>
      <c r="BR42" s="64"/>
      <c r="BS42" s="64"/>
      <c r="BT42" s="64"/>
      <c r="BU42" s="65"/>
      <c r="BV42" s="64"/>
      <c r="BW42" s="64"/>
      <c r="BX42" s="64"/>
      <c r="BY42" s="64"/>
      <c r="BZ42" s="67"/>
      <c r="CA42" s="64"/>
      <c r="CB42" s="64"/>
      <c r="CC42" s="64"/>
      <c r="CD42" s="64"/>
      <c r="CE42" s="65"/>
      <c r="CF42" s="64"/>
      <c r="CG42" s="64"/>
      <c r="CH42" s="64"/>
      <c r="CI42" s="64"/>
      <c r="CJ42" s="65"/>
      <c r="CK42" s="64"/>
      <c r="CL42" s="64"/>
      <c r="CM42" s="64"/>
      <c r="CN42" s="64"/>
      <c r="CO42" s="65"/>
      <c r="CP42" s="64"/>
      <c r="CQ42" s="64"/>
      <c r="CR42" s="64"/>
      <c r="CS42" s="64"/>
      <c r="CT42" s="65"/>
      <c r="CU42" s="64"/>
      <c r="CV42" s="64"/>
      <c r="CW42" s="64"/>
      <c r="CX42" s="64"/>
      <c r="CY42" s="65"/>
      <c r="CZ42" s="64"/>
      <c r="DA42" s="64"/>
      <c r="DB42" s="66"/>
      <c r="DC42" s="64"/>
      <c r="DD42" s="65"/>
      <c r="DE42" s="64"/>
      <c r="DF42" s="64"/>
      <c r="DG42" s="64"/>
      <c r="DH42" s="64"/>
      <c r="DI42" s="65"/>
      <c r="DJ42" s="64"/>
      <c r="DK42" s="64"/>
      <c r="DL42" s="64"/>
      <c r="DM42" s="64"/>
      <c r="DN42" s="65"/>
      <c r="DO42" s="64"/>
      <c r="DP42" s="64"/>
      <c r="DQ42" s="64"/>
      <c r="DR42" s="64"/>
      <c r="DS42" s="65"/>
      <c r="DT42" s="66"/>
      <c r="DU42" s="64"/>
      <c r="DV42" s="64"/>
      <c r="DW42" s="64"/>
      <c r="DX42" s="65"/>
      <c r="DY42" s="64"/>
      <c r="DZ42" s="64"/>
      <c r="EA42" s="66"/>
      <c r="EB42" s="64"/>
      <c r="EC42" s="65"/>
      <c r="ED42" s="64"/>
      <c r="EE42" s="64"/>
      <c r="EF42" s="64"/>
      <c r="EG42" s="64"/>
      <c r="EH42" s="65"/>
      <c r="EI42" s="64"/>
      <c r="EJ42" s="64"/>
      <c r="EK42" s="64"/>
      <c r="EL42" s="64"/>
      <c r="EM42" s="65"/>
      <c r="EN42" s="64"/>
      <c r="EO42" s="64"/>
      <c r="EP42" s="64"/>
      <c r="EQ42" s="66"/>
      <c r="ER42" s="65"/>
      <c r="ES42" s="64"/>
      <c r="ET42" s="64"/>
      <c r="EU42" s="64"/>
      <c r="EV42" s="64"/>
      <c r="EW42" s="65"/>
      <c r="EX42" s="64"/>
      <c r="EY42" s="64"/>
      <c r="EZ42" s="64"/>
      <c r="FA42" s="64"/>
      <c r="FB42" s="65"/>
      <c r="FC42" s="64"/>
      <c r="FD42" s="64"/>
      <c r="FE42" s="64"/>
      <c r="FF42" s="64"/>
      <c r="FG42" s="64"/>
    </row>
    <row r="43" spans="1:163" ht="19.5" customHeight="1">
      <c r="A43" s="140"/>
      <c r="B43" s="33"/>
      <c r="C43" s="89"/>
      <c r="D43" s="35"/>
      <c r="E43" s="96"/>
      <c r="F43" s="195" t="s">
        <v>113</v>
      </c>
      <c r="G43" s="176"/>
      <c r="H43" s="90" t="s">
        <v>35</v>
      </c>
      <c r="I43" s="91" t="s">
        <v>36</v>
      </c>
      <c r="J43" s="91" t="s">
        <v>43</v>
      </c>
      <c r="K43" s="91" t="s">
        <v>114</v>
      </c>
      <c r="L43" s="63">
        <v>46331</v>
      </c>
      <c r="M43" s="63">
        <v>46331</v>
      </c>
      <c r="N43" s="63"/>
      <c r="O43" s="63"/>
      <c r="P43" s="40">
        <f>NETWORKDAYS(L43,M43,휴일!$A$2:$A$8)</f>
        <v>1</v>
      </c>
      <c r="Q43" s="41">
        <f>IF(NETWORKDAYS(N43,O43,휴일!$A$2:$A$8)&lt;0,"",NETWORKDAYS(N43,O43,휴일!$A$2:$A$8))</f>
        <v>0</v>
      </c>
      <c r="R43" s="40" t="str">
        <f>IFERROR(IF(M43&gt;=$M$1,IF(NETWORKDAYS(L43,$M$1,휴일!$A$2:$A$8)&gt;0,NETWORKDAYS(L43,$M$1,휴일!$A$2:$A$8),""),NETWORKDAYS(L43,M43,휴일!$A$2:$A$8)),"")</f>
        <v/>
      </c>
      <c r="S43" s="42">
        <f>IF(IFERROR(IF(O43&gt;=$M$1,IF(NETWORKDAYS(N43,$M$1,휴일!$A$2:$A$8)&gt;0,NETWORKDAYS(N43,$M$1,휴일!$A$2:$A$8),""),NETWORKDAYS(N43,O43,휴일!$A$2:$A$8)),"")&lt;0,"",IFERROR(IF(O43&gt;=$M$1,IF(NETWORKDAYS(N43,$M$1,휴일!$A$2:$A$8)&gt;0,NETWORKDAYS(N43,$M$1,휴일!$A$2:$A$8),""),NETWORKDAYS(N43,O43,휴일!$A$2:$A$8)),""))</f>
        <v>0</v>
      </c>
      <c r="T43" s="43">
        <f t="shared" si="2"/>
        <v>0</v>
      </c>
      <c r="U43" s="44">
        <f t="shared" si="3"/>
        <v>0</v>
      </c>
      <c r="V43" s="45">
        <f t="shared" si="4"/>
        <v>0</v>
      </c>
      <c r="W43" s="45">
        <f t="shared" si="1"/>
        <v>0</v>
      </c>
      <c r="X43" s="46"/>
      <c r="Y43" s="64"/>
      <c r="Z43" s="64"/>
      <c r="AA43" s="64"/>
      <c r="AB43" s="65"/>
      <c r="AC43" s="64"/>
      <c r="AD43" s="64"/>
      <c r="AE43" s="64"/>
      <c r="AF43" s="64"/>
      <c r="AG43" s="65"/>
      <c r="AH43" s="66"/>
      <c r="AI43" s="64"/>
      <c r="AJ43" s="64"/>
      <c r="AK43" s="64"/>
      <c r="AL43" s="65"/>
      <c r="AM43" s="64"/>
      <c r="AN43" s="64"/>
      <c r="AO43" s="64"/>
      <c r="AP43" s="64"/>
      <c r="AQ43" s="65"/>
      <c r="AR43" s="64"/>
      <c r="AS43" s="64"/>
      <c r="AT43" s="64"/>
      <c r="AU43" s="64"/>
      <c r="AV43" s="65"/>
      <c r="AW43" s="64"/>
      <c r="AX43" s="64"/>
      <c r="AY43" s="64"/>
      <c r="AZ43" s="64"/>
      <c r="BA43" s="65"/>
      <c r="BB43" s="64"/>
      <c r="BC43" s="64"/>
      <c r="BD43" s="64"/>
      <c r="BE43" s="64"/>
      <c r="BF43" s="65"/>
      <c r="BG43" s="64"/>
      <c r="BH43" s="64"/>
      <c r="BI43" s="64"/>
      <c r="BJ43" s="64"/>
      <c r="BK43" s="67"/>
      <c r="BL43" s="66"/>
      <c r="BM43" s="64"/>
      <c r="BN43" s="64"/>
      <c r="BO43" s="64"/>
      <c r="BP43" s="65"/>
      <c r="BQ43" s="64"/>
      <c r="BR43" s="64"/>
      <c r="BS43" s="64"/>
      <c r="BT43" s="64"/>
      <c r="BU43" s="65"/>
      <c r="BV43" s="64"/>
      <c r="BW43" s="64"/>
      <c r="BX43" s="64"/>
      <c r="BY43" s="64"/>
      <c r="BZ43" s="67"/>
      <c r="CA43" s="64"/>
      <c r="CB43" s="64"/>
      <c r="CC43" s="64"/>
      <c r="CD43" s="64"/>
      <c r="CE43" s="65"/>
      <c r="CF43" s="64"/>
      <c r="CG43" s="64"/>
      <c r="CH43" s="64"/>
      <c r="CI43" s="64"/>
      <c r="CJ43" s="65"/>
      <c r="CK43" s="64"/>
      <c r="CL43" s="64"/>
      <c r="CM43" s="64"/>
      <c r="CN43" s="64"/>
      <c r="CO43" s="65"/>
      <c r="CP43" s="64"/>
      <c r="CQ43" s="64"/>
      <c r="CR43" s="64"/>
      <c r="CS43" s="64"/>
      <c r="CT43" s="65"/>
      <c r="CU43" s="64"/>
      <c r="CV43" s="64"/>
      <c r="CW43" s="64"/>
      <c r="CX43" s="64"/>
      <c r="CY43" s="65"/>
      <c r="CZ43" s="64"/>
      <c r="DA43" s="64"/>
      <c r="DB43" s="66"/>
      <c r="DC43" s="64"/>
      <c r="DD43" s="65"/>
      <c r="DE43" s="64"/>
      <c r="DF43" s="64"/>
      <c r="DG43" s="64"/>
      <c r="DH43" s="64"/>
      <c r="DI43" s="65"/>
      <c r="DJ43" s="64"/>
      <c r="DK43" s="64"/>
      <c r="DL43" s="64"/>
      <c r="DM43" s="64"/>
      <c r="DN43" s="65"/>
      <c r="DO43" s="64"/>
      <c r="DP43" s="64"/>
      <c r="DQ43" s="64"/>
      <c r="DR43" s="64"/>
      <c r="DS43" s="65"/>
      <c r="DT43" s="66"/>
      <c r="DU43" s="64"/>
      <c r="DV43" s="64"/>
      <c r="DW43" s="64"/>
      <c r="DX43" s="65"/>
      <c r="DY43" s="64"/>
      <c r="DZ43" s="64"/>
      <c r="EA43" s="66"/>
      <c r="EB43" s="64"/>
      <c r="EC43" s="65"/>
      <c r="ED43" s="64"/>
      <c r="EE43" s="64"/>
      <c r="EF43" s="64"/>
      <c r="EG43" s="64"/>
      <c r="EH43" s="65"/>
      <c r="EI43" s="64"/>
      <c r="EJ43" s="64"/>
      <c r="EK43" s="64"/>
      <c r="EL43" s="64"/>
      <c r="EM43" s="65"/>
      <c r="EN43" s="64"/>
      <c r="EO43" s="64"/>
      <c r="EP43" s="64"/>
      <c r="EQ43" s="66"/>
      <c r="ER43" s="65"/>
      <c r="ES43" s="64"/>
      <c r="ET43" s="64"/>
      <c r="EU43" s="64"/>
      <c r="EV43" s="64"/>
      <c r="EW43" s="65"/>
      <c r="EX43" s="64"/>
      <c r="EY43" s="64"/>
      <c r="EZ43" s="64"/>
      <c r="FA43" s="64"/>
      <c r="FB43" s="65"/>
      <c r="FC43" s="64"/>
      <c r="FD43" s="64"/>
      <c r="FE43" s="64"/>
      <c r="FF43" s="64"/>
      <c r="FG43" s="64"/>
    </row>
    <row r="44" spans="1:163" ht="19.5" customHeight="1">
      <c r="A44" s="32"/>
      <c r="B44" s="141"/>
      <c r="C44" s="93"/>
      <c r="D44" s="73"/>
      <c r="E44" s="74"/>
      <c r="F44" s="195"/>
      <c r="G44" s="176"/>
      <c r="H44" s="142"/>
      <c r="I44" s="143"/>
      <c r="J44" s="143"/>
      <c r="K44" s="143"/>
      <c r="L44" s="144"/>
      <c r="M44" s="144"/>
      <c r="N44" s="144"/>
      <c r="O44" s="144"/>
      <c r="P44" s="40"/>
      <c r="Q44" s="41"/>
      <c r="R44" s="40"/>
      <c r="S44" s="42"/>
      <c r="T44" s="43"/>
      <c r="U44" s="44"/>
      <c r="V44" s="45"/>
      <c r="W44" s="45"/>
      <c r="X44" s="64"/>
      <c r="Y44" s="64"/>
      <c r="Z44" s="64"/>
      <c r="AA44" s="64"/>
      <c r="AB44" s="65"/>
      <c r="AC44" s="64"/>
      <c r="AD44" s="64"/>
      <c r="AE44" s="64"/>
      <c r="AF44" s="64"/>
      <c r="AG44" s="65"/>
      <c r="AH44" s="66"/>
      <c r="AI44" s="64"/>
      <c r="AJ44" s="64"/>
      <c r="AK44" s="64"/>
      <c r="AL44" s="65"/>
      <c r="AM44" s="64"/>
      <c r="AN44" s="64"/>
      <c r="AO44" s="64"/>
      <c r="AP44" s="64"/>
      <c r="AQ44" s="65"/>
      <c r="AR44" s="64"/>
      <c r="AS44" s="64"/>
      <c r="AT44" s="64"/>
      <c r="AU44" s="64"/>
      <c r="AV44" s="65"/>
      <c r="AW44" s="64"/>
      <c r="AX44" s="64"/>
      <c r="AY44" s="64"/>
      <c r="AZ44" s="64"/>
      <c r="BA44" s="65"/>
      <c r="BB44" s="64"/>
      <c r="BC44" s="64"/>
      <c r="BD44" s="64"/>
      <c r="BE44" s="64"/>
      <c r="BF44" s="65"/>
      <c r="BG44" s="64"/>
      <c r="BH44" s="64"/>
      <c r="BI44" s="64"/>
      <c r="BJ44" s="64"/>
      <c r="BK44" s="67"/>
      <c r="BL44" s="66"/>
      <c r="BM44" s="64"/>
      <c r="BN44" s="64"/>
      <c r="BO44" s="64"/>
      <c r="BP44" s="65"/>
      <c r="BQ44" s="64"/>
      <c r="BR44" s="64"/>
      <c r="BS44" s="64"/>
      <c r="BT44" s="64"/>
      <c r="BU44" s="65"/>
      <c r="BV44" s="64"/>
      <c r="BW44" s="64"/>
      <c r="BX44" s="64"/>
      <c r="BY44" s="64"/>
      <c r="BZ44" s="67"/>
      <c r="CA44" s="64"/>
      <c r="CB44" s="64"/>
      <c r="CC44" s="64"/>
      <c r="CD44" s="64"/>
      <c r="CE44" s="65"/>
      <c r="CF44" s="64"/>
      <c r="CG44" s="64"/>
      <c r="CH44" s="64"/>
      <c r="CI44" s="64"/>
      <c r="CJ44" s="65"/>
      <c r="CK44" s="64"/>
      <c r="CL44" s="64"/>
      <c r="CM44" s="64"/>
      <c r="CN44" s="64"/>
      <c r="CO44" s="65"/>
      <c r="CP44" s="64"/>
      <c r="CQ44" s="64"/>
      <c r="CR44" s="64"/>
      <c r="CS44" s="64"/>
      <c r="CT44" s="65"/>
      <c r="CU44" s="64"/>
      <c r="CV44" s="64"/>
      <c r="CW44" s="64"/>
      <c r="CX44" s="64"/>
      <c r="CY44" s="65"/>
      <c r="CZ44" s="64"/>
      <c r="DA44" s="64"/>
      <c r="DB44" s="66"/>
      <c r="DC44" s="64"/>
      <c r="DD44" s="65"/>
      <c r="DE44" s="64"/>
      <c r="DF44" s="64"/>
      <c r="DG44" s="64"/>
      <c r="DH44" s="64"/>
      <c r="DI44" s="65"/>
      <c r="DJ44" s="64"/>
      <c r="DK44" s="64"/>
      <c r="DL44" s="64"/>
      <c r="DM44" s="64"/>
      <c r="DN44" s="65"/>
      <c r="DO44" s="64"/>
      <c r="DP44" s="64"/>
      <c r="DQ44" s="64"/>
      <c r="DR44" s="64"/>
      <c r="DS44" s="65"/>
      <c r="DT44" s="66"/>
      <c r="DU44" s="64"/>
      <c r="DV44" s="64"/>
      <c r="DW44" s="64"/>
      <c r="DX44" s="65"/>
      <c r="DY44" s="64"/>
      <c r="DZ44" s="64"/>
      <c r="EA44" s="66"/>
      <c r="EB44" s="64"/>
      <c r="EC44" s="65"/>
      <c r="ED44" s="64"/>
      <c r="EE44" s="64"/>
      <c r="EF44" s="64"/>
      <c r="EG44" s="64"/>
      <c r="EH44" s="65"/>
      <c r="EI44" s="64"/>
      <c r="EJ44" s="64"/>
      <c r="EK44" s="64"/>
      <c r="EL44" s="64"/>
      <c r="EM44" s="65"/>
      <c r="EN44" s="64"/>
      <c r="EO44" s="64"/>
      <c r="EP44" s="64"/>
      <c r="EQ44" s="66"/>
      <c r="ER44" s="65"/>
      <c r="ES44" s="64"/>
      <c r="ET44" s="64"/>
      <c r="EU44" s="64"/>
      <c r="EV44" s="64"/>
      <c r="EW44" s="65"/>
      <c r="EX44" s="64"/>
      <c r="EY44" s="64"/>
      <c r="EZ44" s="64"/>
      <c r="FA44" s="64"/>
      <c r="FB44" s="65"/>
      <c r="FC44" s="64"/>
      <c r="FD44" s="64"/>
      <c r="FE44" s="64"/>
      <c r="FF44" s="64"/>
      <c r="FG44" s="64"/>
    </row>
    <row r="45" spans="1:163" ht="33" customHeight="1">
      <c r="A45" s="145"/>
      <c r="B45" s="208"/>
      <c r="C45" s="188"/>
      <c r="D45" s="188"/>
      <c r="E45" s="188"/>
      <c r="F45" s="188"/>
      <c r="G45" s="188"/>
      <c r="H45" s="146"/>
      <c r="I45" s="146"/>
      <c r="J45" s="146"/>
      <c r="K45" s="147"/>
      <c r="L45" s="147"/>
      <c r="M45" s="147"/>
      <c r="N45" s="148"/>
      <c r="O45" s="149"/>
      <c r="P45" s="150">
        <f>SUM(P6:P44)</f>
        <v>43</v>
      </c>
      <c r="Q45" s="151">
        <f>SUM(Q6:Q44)</f>
        <v>2</v>
      </c>
      <c r="R45" s="149">
        <f>SUM(R6:R44)</f>
        <v>4</v>
      </c>
      <c r="S45" s="151">
        <f>SUM(S6:S44)</f>
        <v>2</v>
      </c>
      <c r="T45" s="152">
        <f>IFERROR(R45/P45,0)</f>
        <v>9.3023255813953487E-2</v>
      </c>
      <c r="U45" s="152">
        <f>IFERROR(S45/Q45,0)</f>
        <v>1</v>
      </c>
      <c r="V45" s="153">
        <f>V5</f>
        <v>3.3333333333333333E-2</v>
      </c>
      <c r="W45" s="153">
        <f>V45-T45</f>
        <v>-5.9689922480620154E-2</v>
      </c>
      <c r="X45" s="154"/>
      <c r="Y45" s="155"/>
      <c r="Z45" s="155"/>
      <c r="AA45" s="155"/>
      <c r="AB45" s="156"/>
      <c r="AC45" s="154"/>
      <c r="AD45" s="155"/>
      <c r="AE45" s="155"/>
      <c r="AF45" s="155"/>
      <c r="AG45" s="156"/>
      <c r="AH45" s="157"/>
      <c r="AI45" s="155"/>
      <c r="AJ45" s="155"/>
      <c r="AK45" s="155"/>
      <c r="AL45" s="156"/>
      <c r="AM45" s="154"/>
      <c r="AN45" s="158"/>
      <c r="AO45" s="158"/>
      <c r="AP45" s="155"/>
      <c r="AQ45" s="156"/>
      <c r="AR45" s="154"/>
      <c r="AS45" s="155"/>
      <c r="AT45" s="155"/>
      <c r="AU45" s="155"/>
      <c r="AV45" s="156"/>
      <c r="AW45" s="154"/>
      <c r="AX45" s="155"/>
      <c r="AY45" s="155"/>
      <c r="AZ45" s="155"/>
      <c r="BA45" s="156"/>
      <c r="BB45" s="154"/>
      <c r="BC45" s="155"/>
      <c r="BD45" s="155"/>
      <c r="BE45" s="155"/>
      <c r="BF45" s="156"/>
      <c r="BG45" s="154"/>
      <c r="BH45" s="155"/>
      <c r="BI45" s="155"/>
      <c r="BJ45" s="155"/>
      <c r="BK45" s="159"/>
      <c r="BL45" s="157"/>
      <c r="BM45" s="155"/>
      <c r="BN45" s="155"/>
      <c r="BO45" s="155"/>
      <c r="BP45" s="156"/>
      <c r="BQ45" s="154"/>
      <c r="BR45" s="155"/>
      <c r="BS45" s="155"/>
      <c r="BT45" s="155"/>
      <c r="BU45" s="156"/>
      <c r="BV45" s="154"/>
      <c r="BW45" s="155"/>
      <c r="BX45" s="155"/>
      <c r="BY45" s="155"/>
      <c r="BZ45" s="159"/>
      <c r="CA45" s="154"/>
      <c r="CB45" s="155"/>
      <c r="CC45" s="155"/>
      <c r="CD45" s="155"/>
      <c r="CE45" s="156"/>
      <c r="CF45" s="154"/>
      <c r="CG45" s="155"/>
      <c r="CH45" s="155"/>
      <c r="CI45" s="155"/>
      <c r="CJ45" s="156"/>
      <c r="CK45" s="154"/>
      <c r="CL45" s="155"/>
      <c r="CM45" s="155"/>
      <c r="CN45" s="155"/>
      <c r="CO45" s="156"/>
      <c r="CP45" s="154"/>
      <c r="CQ45" s="155"/>
      <c r="CR45" s="155"/>
      <c r="CS45" s="155"/>
      <c r="CT45" s="156"/>
      <c r="CU45" s="154"/>
      <c r="CV45" s="155"/>
      <c r="CW45" s="155"/>
      <c r="CX45" s="155"/>
      <c r="CY45" s="156"/>
      <c r="CZ45" s="154"/>
      <c r="DA45" s="155"/>
      <c r="DB45" s="160"/>
      <c r="DC45" s="155"/>
      <c r="DD45" s="156"/>
      <c r="DE45" s="154"/>
      <c r="DF45" s="155"/>
      <c r="DG45" s="155"/>
      <c r="DH45" s="155"/>
      <c r="DI45" s="156"/>
      <c r="DJ45" s="154"/>
      <c r="DK45" s="155"/>
      <c r="DL45" s="155"/>
      <c r="DM45" s="155"/>
      <c r="DN45" s="156"/>
      <c r="DO45" s="154"/>
      <c r="DP45" s="155"/>
      <c r="DQ45" s="155"/>
      <c r="DR45" s="155"/>
      <c r="DS45" s="156"/>
      <c r="DT45" s="157"/>
      <c r="DU45" s="155"/>
      <c r="DV45" s="155"/>
      <c r="DW45" s="155"/>
      <c r="DX45" s="156"/>
      <c r="DY45" s="154"/>
      <c r="DZ45" s="154"/>
      <c r="EA45" s="160"/>
      <c r="EB45" s="155"/>
      <c r="EC45" s="156"/>
      <c r="ED45" s="154"/>
      <c r="EE45" s="155"/>
      <c r="EF45" s="155"/>
      <c r="EG45" s="155"/>
      <c r="EH45" s="156"/>
      <c r="EI45" s="154"/>
      <c r="EJ45" s="155"/>
      <c r="EK45" s="155"/>
      <c r="EL45" s="155"/>
      <c r="EM45" s="156"/>
      <c r="EN45" s="154"/>
      <c r="EO45" s="155"/>
      <c r="EP45" s="155"/>
      <c r="EQ45" s="160"/>
      <c r="ER45" s="156"/>
      <c r="ES45" s="154"/>
      <c r="ET45" s="155"/>
      <c r="EU45" s="155"/>
      <c r="EV45" s="155"/>
      <c r="EW45" s="156"/>
      <c r="EX45" s="154"/>
      <c r="EY45" s="155"/>
      <c r="EZ45" s="155"/>
      <c r="FA45" s="155"/>
      <c r="FB45" s="156"/>
      <c r="FC45" s="154"/>
      <c r="FD45" s="154"/>
      <c r="FE45" s="155"/>
      <c r="FF45" s="155"/>
      <c r="FG45" s="155"/>
    </row>
    <row r="46" spans="1:163" ht="15.75" customHeight="1">
      <c r="H46" s="161"/>
      <c r="I46" s="161"/>
      <c r="J46" s="161"/>
      <c r="N46" s="161"/>
      <c r="O46" s="161"/>
      <c r="P46" s="161"/>
      <c r="Q46" s="161"/>
      <c r="R46" s="161"/>
      <c r="S46" s="161"/>
    </row>
    <row r="47" spans="1:163" ht="15.75" customHeight="1">
      <c r="H47" s="161"/>
      <c r="I47" s="161"/>
      <c r="J47" s="161"/>
      <c r="N47" s="161"/>
      <c r="O47" s="161"/>
      <c r="P47" s="161"/>
      <c r="Q47" s="161"/>
      <c r="R47" s="161"/>
      <c r="S47" s="161"/>
    </row>
    <row r="48" spans="1:163" ht="15.75" customHeight="1">
      <c r="H48" s="161"/>
      <c r="I48" s="161"/>
      <c r="J48" s="161"/>
      <c r="N48" s="161"/>
      <c r="O48" s="161"/>
      <c r="P48" s="161"/>
      <c r="Q48" s="161"/>
      <c r="R48" s="161"/>
      <c r="S48" s="161"/>
    </row>
    <row r="49" spans="8:19" ht="15.75" customHeight="1">
      <c r="H49" s="161"/>
      <c r="I49" s="161"/>
      <c r="J49" s="161"/>
      <c r="N49" s="161"/>
      <c r="O49" s="161"/>
      <c r="P49" s="161"/>
      <c r="Q49" s="161"/>
      <c r="R49" s="161"/>
      <c r="S49" s="161"/>
    </row>
    <row r="50" spans="8:19" ht="15.75" customHeight="1">
      <c r="H50" s="161"/>
      <c r="I50" s="161"/>
      <c r="J50" s="161"/>
      <c r="N50" s="161"/>
      <c r="O50" s="161"/>
      <c r="P50" s="161"/>
      <c r="Q50" s="161"/>
      <c r="R50" s="161"/>
      <c r="S50" s="161"/>
    </row>
    <row r="51" spans="8:19" ht="15.75" customHeight="1">
      <c r="H51" s="161"/>
      <c r="I51" s="161"/>
      <c r="J51" s="161"/>
      <c r="N51" s="161"/>
      <c r="O51" s="161"/>
      <c r="P51" s="161"/>
      <c r="Q51" s="161"/>
      <c r="R51" s="161"/>
      <c r="S51" s="161"/>
    </row>
    <row r="52" spans="8:19" ht="15.75" customHeight="1">
      <c r="H52" s="161"/>
      <c r="I52" s="161"/>
      <c r="J52" s="161"/>
      <c r="N52" s="161"/>
      <c r="O52" s="161"/>
      <c r="P52" s="161"/>
      <c r="Q52" s="161"/>
      <c r="R52" s="161"/>
      <c r="S52" s="161"/>
    </row>
    <row r="53" spans="8:19" ht="15.75" customHeight="1">
      <c r="H53" s="161"/>
      <c r="I53" s="161"/>
      <c r="J53" s="161"/>
      <c r="N53" s="161"/>
      <c r="O53" s="161"/>
      <c r="P53" s="161"/>
      <c r="Q53" s="161"/>
      <c r="R53" s="161"/>
      <c r="S53" s="161"/>
    </row>
    <row r="54" spans="8:19" ht="15.75" customHeight="1">
      <c r="H54" s="161"/>
      <c r="I54" s="161"/>
      <c r="J54" s="161"/>
      <c r="N54" s="161"/>
      <c r="O54" s="161"/>
      <c r="P54" s="161"/>
      <c r="Q54" s="161"/>
      <c r="R54" s="161"/>
      <c r="S54" s="161"/>
    </row>
    <row r="55" spans="8:19" ht="15.75" customHeight="1">
      <c r="H55" s="161"/>
      <c r="I55" s="161"/>
      <c r="J55" s="161"/>
      <c r="N55" s="161"/>
      <c r="O55" s="161"/>
      <c r="P55" s="161"/>
      <c r="Q55" s="161"/>
      <c r="R55" s="161"/>
      <c r="S55" s="161"/>
    </row>
    <row r="56" spans="8:19" ht="15.75" customHeight="1">
      <c r="H56" s="161"/>
      <c r="I56" s="161"/>
      <c r="J56" s="161"/>
      <c r="N56" s="161"/>
      <c r="O56" s="161"/>
      <c r="P56" s="161"/>
      <c r="Q56" s="161"/>
      <c r="R56" s="161"/>
      <c r="S56" s="161"/>
    </row>
    <row r="57" spans="8:19" ht="15.75" customHeight="1">
      <c r="H57" s="161"/>
      <c r="I57" s="161"/>
      <c r="J57" s="161"/>
      <c r="N57" s="161"/>
      <c r="O57" s="161"/>
      <c r="P57" s="161"/>
      <c r="Q57" s="161"/>
      <c r="R57" s="161"/>
      <c r="S57" s="161"/>
    </row>
    <row r="58" spans="8:19" ht="15.75" customHeight="1">
      <c r="H58" s="161"/>
      <c r="I58" s="161"/>
      <c r="J58" s="161"/>
      <c r="N58" s="161"/>
      <c r="O58" s="161"/>
      <c r="P58" s="161"/>
      <c r="Q58" s="161"/>
      <c r="R58" s="161"/>
      <c r="S58" s="161"/>
    </row>
    <row r="59" spans="8:19" ht="15.75" customHeight="1">
      <c r="H59" s="161"/>
      <c r="I59" s="161"/>
      <c r="J59" s="161"/>
      <c r="N59" s="161"/>
      <c r="O59" s="161"/>
      <c r="P59" s="161"/>
      <c r="Q59" s="161"/>
      <c r="R59" s="161"/>
      <c r="S59" s="161"/>
    </row>
    <row r="60" spans="8:19" ht="15.75" customHeight="1">
      <c r="H60" s="161"/>
      <c r="I60" s="161"/>
      <c r="J60" s="161"/>
      <c r="N60" s="161"/>
      <c r="O60" s="161"/>
      <c r="P60" s="161"/>
      <c r="Q60" s="161"/>
      <c r="R60" s="161"/>
      <c r="S60" s="161"/>
    </row>
    <row r="61" spans="8:19" ht="15.75" customHeight="1">
      <c r="H61" s="161"/>
      <c r="I61" s="161"/>
      <c r="J61" s="161"/>
      <c r="N61" s="161"/>
      <c r="O61" s="161"/>
      <c r="P61" s="161"/>
      <c r="Q61" s="161"/>
      <c r="R61" s="161"/>
      <c r="S61" s="161"/>
    </row>
    <row r="62" spans="8:19" ht="15.75" customHeight="1">
      <c r="H62" s="161"/>
      <c r="I62" s="161"/>
      <c r="J62" s="161"/>
      <c r="N62" s="161"/>
      <c r="O62" s="161"/>
      <c r="P62" s="161"/>
      <c r="Q62" s="161"/>
      <c r="R62" s="161"/>
      <c r="S62" s="161"/>
    </row>
    <row r="63" spans="8:19" ht="15.75" customHeight="1">
      <c r="H63" s="161"/>
      <c r="I63" s="161"/>
      <c r="J63" s="161"/>
      <c r="N63" s="161"/>
      <c r="O63" s="161"/>
      <c r="P63" s="161"/>
      <c r="Q63" s="161"/>
      <c r="R63" s="161"/>
      <c r="S63" s="161"/>
    </row>
    <row r="64" spans="8:19" ht="15.75" customHeight="1">
      <c r="H64" s="161"/>
      <c r="I64" s="161"/>
      <c r="J64" s="161"/>
      <c r="N64" s="161"/>
      <c r="O64" s="161"/>
      <c r="P64" s="161"/>
      <c r="Q64" s="161"/>
      <c r="R64" s="161"/>
      <c r="S64" s="161"/>
    </row>
    <row r="65" spans="8:19" ht="15.75" customHeight="1">
      <c r="H65" s="161"/>
      <c r="I65" s="161"/>
      <c r="J65" s="161"/>
      <c r="N65" s="161"/>
      <c r="O65" s="161"/>
      <c r="P65" s="161"/>
      <c r="Q65" s="161"/>
      <c r="R65" s="161"/>
      <c r="S65" s="161"/>
    </row>
    <row r="66" spans="8:19" ht="15.75" customHeight="1">
      <c r="H66" s="161"/>
      <c r="I66" s="161"/>
      <c r="J66" s="161"/>
      <c r="N66" s="161"/>
      <c r="O66" s="161"/>
      <c r="P66" s="161"/>
      <c r="Q66" s="161"/>
      <c r="R66" s="161"/>
      <c r="S66" s="161"/>
    </row>
    <row r="67" spans="8:19" ht="15.75" customHeight="1">
      <c r="H67" s="161"/>
      <c r="I67" s="161"/>
      <c r="J67" s="161"/>
      <c r="N67" s="161"/>
      <c r="O67" s="161"/>
      <c r="P67" s="161"/>
      <c r="Q67" s="161"/>
      <c r="R67" s="161"/>
      <c r="S67" s="161"/>
    </row>
    <row r="68" spans="8:19" ht="15.75" customHeight="1">
      <c r="H68" s="161"/>
      <c r="I68" s="161"/>
      <c r="J68" s="161"/>
      <c r="N68" s="161"/>
      <c r="O68" s="161"/>
      <c r="P68" s="161"/>
      <c r="Q68" s="161"/>
      <c r="R68" s="161"/>
      <c r="S68" s="161"/>
    </row>
    <row r="69" spans="8:19" ht="15.75" customHeight="1">
      <c r="H69" s="161"/>
      <c r="I69" s="161"/>
      <c r="J69" s="161"/>
      <c r="N69" s="161"/>
      <c r="O69" s="161"/>
      <c r="P69" s="161"/>
      <c r="Q69" s="161"/>
      <c r="R69" s="161"/>
      <c r="S69" s="161"/>
    </row>
    <row r="70" spans="8:19" ht="15.75" customHeight="1">
      <c r="H70" s="161"/>
      <c r="I70" s="161"/>
      <c r="J70" s="161"/>
      <c r="N70" s="161"/>
      <c r="O70" s="161"/>
      <c r="P70" s="161"/>
      <c r="Q70" s="161"/>
      <c r="R70" s="161"/>
      <c r="S70" s="161"/>
    </row>
    <row r="71" spans="8:19" ht="15.75" customHeight="1">
      <c r="H71" s="161"/>
      <c r="I71" s="161"/>
      <c r="J71" s="161"/>
      <c r="N71" s="161"/>
      <c r="O71" s="161"/>
      <c r="P71" s="161"/>
      <c r="Q71" s="161"/>
      <c r="R71" s="161"/>
      <c r="S71" s="161"/>
    </row>
    <row r="72" spans="8:19" ht="15.75" customHeight="1">
      <c r="H72" s="161"/>
      <c r="I72" s="161"/>
      <c r="J72" s="161"/>
      <c r="N72" s="161"/>
      <c r="O72" s="161"/>
      <c r="P72" s="161"/>
      <c r="Q72" s="161"/>
      <c r="R72" s="161"/>
      <c r="S72" s="161"/>
    </row>
    <row r="73" spans="8:19" ht="15.75" customHeight="1">
      <c r="H73" s="161"/>
      <c r="I73" s="161"/>
      <c r="J73" s="161"/>
      <c r="N73" s="161"/>
      <c r="O73" s="161"/>
      <c r="P73" s="161"/>
      <c r="Q73" s="161"/>
      <c r="R73" s="161"/>
      <c r="S73" s="161"/>
    </row>
    <row r="74" spans="8:19" ht="15.75" customHeight="1">
      <c r="H74" s="161"/>
      <c r="I74" s="161"/>
      <c r="J74" s="161"/>
      <c r="N74" s="161"/>
      <c r="O74" s="161"/>
      <c r="P74" s="161"/>
      <c r="Q74" s="161"/>
      <c r="R74" s="161"/>
      <c r="S74" s="161"/>
    </row>
    <row r="75" spans="8:19" ht="15.75" customHeight="1">
      <c r="H75" s="161"/>
      <c r="I75" s="161"/>
      <c r="J75" s="161"/>
      <c r="N75" s="161"/>
      <c r="O75" s="161"/>
      <c r="P75" s="161"/>
      <c r="Q75" s="161"/>
      <c r="R75" s="161"/>
      <c r="S75" s="161"/>
    </row>
    <row r="76" spans="8:19" ht="15.75" customHeight="1">
      <c r="H76" s="161"/>
      <c r="I76" s="161"/>
      <c r="J76" s="161"/>
      <c r="N76" s="161"/>
      <c r="O76" s="161"/>
      <c r="P76" s="161"/>
      <c r="Q76" s="161"/>
      <c r="R76" s="161"/>
      <c r="S76" s="161"/>
    </row>
    <row r="77" spans="8:19" ht="15.75" customHeight="1">
      <c r="H77" s="161"/>
      <c r="I77" s="161"/>
      <c r="J77" s="161"/>
      <c r="N77" s="161"/>
      <c r="O77" s="161"/>
      <c r="P77" s="161"/>
      <c r="Q77" s="161"/>
      <c r="R77" s="161"/>
      <c r="S77" s="161"/>
    </row>
    <row r="78" spans="8:19" ht="15.75" customHeight="1">
      <c r="H78" s="161"/>
      <c r="I78" s="161"/>
      <c r="J78" s="161"/>
      <c r="N78" s="161"/>
      <c r="O78" s="161"/>
      <c r="P78" s="161"/>
      <c r="Q78" s="161"/>
      <c r="R78" s="161"/>
      <c r="S78" s="161"/>
    </row>
    <row r="79" spans="8:19" ht="15.75" customHeight="1">
      <c r="H79" s="161"/>
      <c r="I79" s="161"/>
      <c r="J79" s="161"/>
      <c r="N79" s="161"/>
      <c r="O79" s="161"/>
      <c r="P79" s="161"/>
      <c r="Q79" s="161"/>
      <c r="R79" s="161"/>
      <c r="S79" s="161"/>
    </row>
    <row r="80" spans="8:19" ht="15.75" customHeight="1">
      <c r="H80" s="161"/>
      <c r="I80" s="161"/>
      <c r="J80" s="161"/>
      <c r="N80" s="161"/>
      <c r="O80" s="161"/>
      <c r="P80" s="161"/>
      <c r="Q80" s="161"/>
      <c r="R80" s="161"/>
      <c r="S80" s="161"/>
    </row>
    <row r="81" spans="8:19" ht="15.75" customHeight="1">
      <c r="H81" s="161"/>
      <c r="I81" s="161"/>
      <c r="J81" s="161"/>
      <c r="N81" s="161"/>
      <c r="O81" s="161"/>
      <c r="P81" s="161"/>
      <c r="Q81" s="161"/>
      <c r="R81" s="161"/>
      <c r="S81" s="161"/>
    </row>
    <row r="82" spans="8:19" ht="15.75" customHeight="1">
      <c r="H82" s="161"/>
      <c r="I82" s="161"/>
      <c r="J82" s="161"/>
      <c r="N82" s="161"/>
      <c r="O82" s="161"/>
      <c r="P82" s="161"/>
      <c r="Q82" s="161"/>
      <c r="R82" s="161"/>
      <c r="S82" s="161"/>
    </row>
    <row r="83" spans="8:19" ht="15.75" customHeight="1">
      <c r="H83" s="161"/>
      <c r="I83" s="161"/>
      <c r="J83" s="161"/>
      <c r="N83" s="161"/>
      <c r="O83" s="161"/>
      <c r="P83" s="161"/>
      <c r="Q83" s="161"/>
      <c r="R83" s="161"/>
      <c r="S83" s="161"/>
    </row>
    <row r="84" spans="8:19" ht="15.75" customHeight="1">
      <c r="H84" s="161"/>
      <c r="I84" s="161"/>
      <c r="J84" s="161"/>
      <c r="N84" s="161"/>
      <c r="O84" s="161"/>
      <c r="P84" s="161"/>
      <c r="Q84" s="161"/>
      <c r="R84" s="161"/>
      <c r="S84" s="161"/>
    </row>
    <row r="85" spans="8:19" ht="15.75" customHeight="1">
      <c r="H85" s="161"/>
      <c r="I85" s="161"/>
      <c r="J85" s="161"/>
      <c r="N85" s="161"/>
      <c r="O85" s="161"/>
      <c r="P85" s="161"/>
      <c r="Q85" s="161"/>
      <c r="R85" s="161"/>
      <c r="S85" s="161"/>
    </row>
    <row r="86" spans="8:19" ht="15.75" customHeight="1">
      <c r="H86" s="161"/>
      <c r="I86" s="161"/>
      <c r="J86" s="161"/>
      <c r="N86" s="161"/>
      <c r="O86" s="161"/>
      <c r="P86" s="161"/>
      <c r="Q86" s="161"/>
      <c r="R86" s="161"/>
      <c r="S86" s="161"/>
    </row>
    <row r="87" spans="8:19" ht="15.75" customHeight="1">
      <c r="H87" s="161"/>
      <c r="I87" s="161"/>
      <c r="J87" s="161"/>
      <c r="N87" s="161"/>
      <c r="O87" s="161"/>
      <c r="P87" s="161"/>
      <c r="Q87" s="161"/>
      <c r="R87" s="161"/>
      <c r="S87" s="161"/>
    </row>
    <row r="88" spans="8:19" ht="15.75" customHeight="1">
      <c r="H88" s="161"/>
      <c r="I88" s="161"/>
      <c r="J88" s="161"/>
      <c r="N88" s="161"/>
      <c r="O88" s="161"/>
      <c r="P88" s="161"/>
      <c r="Q88" s="161"/>
      <c r="R88" s="161"/>
      <c r="S88" s="161"/>
    </row>
    <row r="89" spans="8:19" ht="15.75" customHeight="1">
      <c r="H89" s="161"/>
      <c r="I89" s="161"/>
      <c r="J89" s="161"/>
      <c r="N89" s="161"/>
      <c r="O89" s="161"/>
      <c r="P89" s="161"/>
      <c r="Q89" s="161"/>
      <c r="R89" s="161"/>
      <c r="S89" s="161"/>
    </row>
    <row r="90" spans="8:19" ht="15.75" customHeight="1">
      <c r="H90" s="161"/>
      <c r="I90" s="161"/>
      <c r="J90" s="161"/>
      <c r="N90" s="161"/>
      <c r="O90" s="161"/>
      <c r="P90" s="161"/>
      <c r="Q90" s="161"/>
      <c r="R90" s="161"/>
      <c r="S90" s="161"/>
    </row>
    <row r="91" spans="8:19" ht="15.75" customHeight="1">
      <c r="H91" s="161"/>
      <c r="I91" s="161"/>
      <c r="J91" s="161"/>
      <c r="N91" s="161"/>
      <c r="O91" s="161"/>
      <c r="P91" s="161"/>
      <c r="Q91" s="161"/>
      <c r="R91" s="161"/>
      <c r="S91" s="161"/>
    </row>
    <row r="92" spans="8:19" ht="15.75" customHeight="1">
      <c r="H92" s="161"/>
      <c r="I92" s="161"/>
      <c r="J92" s="161"/>
      <c r="N92" s="161"/>
      <c r="O92" s="161"/>
      <c r="P92" s="161"/>
      <c r="Q92" s="161"/>
      <c r="R92" s="161"/>
      <c r="S92" s="161"/>
    </row>
    <row r="93" spans="8:19" ht="15.75" customHeight="1">
      <c r="H93" s="161"/>
      <c r="I93" s="161"/>
      <c r="J93" s="161"/>
      <c r="N93" s="161"/>
      <c r="O93" s="161"/>
      <c r="P93" s="161"/>
      <c r="Q93" s="161"/>
      <c r="R93" s="161"/>
      <c r="S93" s="161"/>
    </row>
    <row r="94" spans="8:19" ht="15.75" customHeight="1">
      <c r="H94" s="161"/>
      <c r="I94" s="161"/>
      <c r="J94" s="161"/>
      <c r="N94" s="161"/>
      <c r="O94" s="161"/>
      <c r="P94" s="161"/>
      <c r="Q94" s="161"/>
      <c r="R94" s="161"/>
      <c r="S94" s="161"/>
    </row>
    <row r="95" spans="8:19" ht="15.75" customHeight="1">
      <c r="H95" s="161"/>
      <c r="I95" s="161"/>
      <c r="J95" s="161"/>
      <c r="N95" s="161"/>
      <c r="O95" s="161"/>
      <c r="P95" s="161"/>
      <c r="Q95" s="161"/>
      <c r="R95" s="161"/>
      <c r="S95" s="161"/>
    </row>
    <row r="96" spans="8:19" ht="15.75" customHeight="1">
      <c r="H96" s="161"/>
      <c r="I96" s="161"/>
      <c r="J96" s="161"/>
      <c r="N96" s="161"/>
      <c r="O96" s="161"/>
      <c r="P96" s="161"/>
      <c r="Q96" s="161"/>
      <c r="R96" s="161"/>
      <c r="S96" s="161"/>
    </row>
    <row r="97" spans="8:19" ht="15.75" customHeight="1">
      <c r="H97" s="161"/>
      <c r="I97" s="161"/>
      <c r="J97" s="161"/>
      <c r="N97" s="161"/>
      <c r="O97" s="161"/>
      <c r="P97" s="161"/>
      <c r="Q97" s="161"/>
      <c r="R97" s="161"/>
      <c r="S97" s="161"/>
    </row>
    <row r="98" spans="8:19" ht="15.75" customHeight="1">
      <c r="H98" s="161"/>
      <c r="I98" s="161"/>
      <c r="J98" s="161"/>
      <c r="N98" s="161"/>
      <c r="O98" s="161"/>
      <c r="P98" s="161"/>
      <c r="Q98" s="161"/>
      <c r="R98" s="161"/>
      <c r="S98" s="161"/>
    </row>
    <row r="99" spans="8:19" ht="15.75" customHeight="1">
      <c r="H99" s="161"/>
      <c r="I99" s="161"/>
      <c r="J99" s="161"/>
      <c r="N99" s="161"/>
      <c r="O99" s="161"/>
      <c r="P99" s="161"/>
      <c r="Q99" s="161"/>
      <c r="R99" s="161"/>
      <c r="S99" s="161"/>
    </row>
    <row r="100" spans="8:19" ht="15.75" customHeight="1">
      <c r="H100" s="161"/>
      <c r="I100" s="161"/>
      <c r="J100" s="161"/>
      <c r="N100" s="161"/>
      <c r="O100" s="161"/>
      <c r="P100" s="161"/>
      <c r="Q100" s="161"/>
      <c r="R100" s="161"/>
      <c r="S100" s="161"/>
    </row>
    <row r="101" spans="8:19" ht="15.75" customHeight="1">
      <c r="H101" s="161"/>
      <c r="I101" s="161"/>
      <c r="J101" s="161"/>
      <c r="N101" s="161"/>
      <c r="O101" s="161"/>
      <c r="P101" s="161"/>
      <c r="Q101" s="161"/>
      <c r="R101" s="161"/>
      <c r="S101" s="161"/>
    </row>
    <row r="102" spans="8:19" ht="15.75" customHeight="1">
      <c r="H102" s="161"/>
      <c r="I102" s="161"/>
      <c r="J102" s="161"/>
      <c r="N102" s="161"/>
      <c r="O102" s="161"/>
      <c r="P102" s="161"/>
      <c r="Q102" s="161"/>
      <c r="R102" s="161"/>
      <c r="S102" s="161"/>
    </row>
    <row r="103" spans="8:19" ht="15.75" customHeight="1">
      <c r="H103" s="161"/>
      <c r="I103" s="161"/>
      <c r="J103" s="161"/>
      <c r="N103" s="161"/>
      <c r="O103" s="161"/>
      <c r="P103" s="161"/>
      <c r="Q103" s="161"/>
      <c r="R103" s="161"/>
      <c r="S103" s="161"/>
    </row>
    <row r="104" spans="8:19" ht="15.75" customHeight="1">
      <c r="H104" s="161"/>
      <c r="I104" s="161"/>
      <c r="J104" s="161"/>
      <c r="N104" s="161"/>
      <c r="O104" s="161"/>
      <c r="P104" s="161"/>
      <c r="Q104" s="161"/>
      <c r="R104" s="161"/>
      <c r="S104" s="161"/>
    </row>
    <row r="105" spans="8:19" ht="15.75" customHeight="1">
      <c r="H105" s="161"/>
      <c r="I105" s="161"/>
      <c r="J105" s="161"/>
      <c r="N105" s="161"/>
      <c r="O105" s="161"/>
      <c r="P105" s="161"/>
      <c r="Q105" s="161"/>
      <c r="R105" s="161"/>
      <c r="S105" s="161"/>
    </row>
    <row r="106" spans="8:19" ht="15.75" customHeight="1">
      <c r="H106" s="161"/>
      <c r="I106" s="161"/>
      <c r="J106" s="161"/>
      <c r="N106" s="161"/>
      <c r="O106" s="161"/>
      <c r="P106" s="161"/>
      <c r="Q106" s="161"/>
      <c r="R106" s="161"/>
      <c r="S106" s="161"/>
    </row>
    <row r="107" spans="8:19" ht="15.75" customHeight="1">
      <c r="H107" s="161"/>
      <c r="I107" s="161"/>
      <c r="J107" s="161"/>
      <c r="N107" s="161"/>
      <c r="O107" s="161"/>
      <c r="P107" s="161"/>
      <c r="Q107" s="161"/>
      <c r="R107" s="161"/>
      <c r="S107" s="161"/>
    </row>
    <row r="108" spans="8:19" ht="15.75" customHeight="1">
      <c r="H108" s="161"/>
      <c r="I108" s="161"/>
      <c r="J108" s="161"/>
      <c r="N108" s="161"/>
      <c r="O108" s="161"/>
      <c r="P108" s="161"/>
      <c r="Q108" s="161"/>
      <c r="R108" s="161"/>
      <c r="S108" s="161"/>
    </row>
    <row r="109" spans="8:19" ht="15.75" customHeight="1">
      <c r="H109" s="161"/>
      <c r="I109" s="161"/>
      <c r="J109" s="161"/>
      <c r="N109" s="161"/>
      <c r="O109" s="161"/>
      <c r="P109" s="161"/>
      <c r="Q109" s="161"/>
      <c r="R109" s="161"/>
      <c r="S109" s="161"/>
    </row>
    <row r="110" spans="8:19" ht="15.75" customHeight="1">
      <c r="H110" s="161"/>
      <c r="I110" s="161"/>
      <c r="J110" s="161"/>
      <c r="N110" s="161"/>
      <c r="O110" s="161"/>
      <c r="P110" s="161"/>
      <c r="Q110" s="161"/>
      <c r="R110" s="161"/>
      <c r="S110" s="161"/>
    </row>
    <row r="111" spans="8:19" ht="15.75" customHeight="1">
      <c r="H111" s="161"/>
      <c r="I111" s="161"/>
      <c r="J111" s="161"/>
      <c r="N111" s="161"/>
      <c r="O111" s="161"/>
      <c r="P111" s="161"/>
      <c r="Q111" s="161"/>
      <c r="R111" s="161"/>
      <c r="S111" s="161"/>
    </row>
    <row r="112" spans="8:19" ht="15.75" customHeight="1">
      <c r="H112" s="161"/>
      <c r="I112" s="161"/>
      <c r="J112" s="161"/>
      <c r="N112" s="161"/>
      <c r="O112" s="161"/>
      <c r="P112" s="161"/>
      <c r="Q112" s="161"/>
      <c r="R112" s="161"/>
      <c r="S112" s="161"/>
    </row>
    <row r="113" spans="8:19" ht="15.75" customHeight="1">
      <c r="H113" s="161"/>
      <c r="I113" s="161"/>
      <c r="J113" s="161"/>
      <c r="N113" s="161"/>
      <c r="O113" s="161"/>
      <c r="P113" s="161"/>
      <c r="Q113" s="161"/>
      <c r="R113" s="161"/>
      <c r="S113" s="161"/>
    </row>
    <row r="114" spans="8:19" ht="15.75" customHeight="1">
      <c r="H114" s="161"/>
      <c r="I114" s="161"/>
      <c r="J114" s="161"/>
      <c r="N114" s="161"/>
      <c r="O114" s="161"/>
      <c r="P114" s="161"/>
      <c r="Q114" s="161"/>
      <c r="R114" s="161"/>
      <c r="S114" s="161"/>
    </row>
    <row r="115" spans="8:19" ht="15.75" customHeight="1">
      <c r="H115" s="161"/>
      <c r="I115" s="161"/>
      <c r="J115" s="161"/>
      <c r="N115" s="161"/>
      <c r="O115" s="161"/>
      <c r="P115" s="161"/>
      <c r="Q115" s="161"/>
      <c r="R115" s="161"/>
      <c r="S115" s="161"/>
    </row>
    <row r="116" spans="8:19" ht="15.75" customHeight="1">
      <c r="H116" s="161"/>
      <c r="I116" s="161"/>
      <c r="J116" s="161"/>
      <c r="N116" s="161"/>
      <c r="O116" s="161"/>
      <c r="P116" s="161"/>
      <c r="Q116" s="161"/>
      <c r="R116" s="161"/>
      <c r="S116" s="161"/>
    </row>
    <row r="117" spans="8:19" ht="15.75" customHeight="1">
      <c r="H117" s="161"/>
      <c r="I117" s="161"/>
      <c r="J117" s="161"/>
      <c r="N117" s="161"/>
      <c r="O117" s="161"/>
      <c r="P117" s="161"/>
      <c r="Q117" s="161"/>
      <c r="R117" s="161"/>
      <c r="S117" s="161"/>
    </row>
    <row r="118" spans="8:19" ht="15.75" customHeight="1">
      <c r="H118" s="161"/>
      <c r="I118" s="161"/>
      <c r="J118" s="161"/>
      <c r="N118" s="161"/>
      <c r="O118" s="161"/>
      <c r="P118" s="161"/>
      <c r="Q118" s="161"/>
      <c r="R118" s="161"/>
      <c r="S118" s="161"/>
    </row>
    <row r="119" spans="8:19" ht="15.75" customHeight="1">
      <c r="H119" s="161"/>
      <c r="I119" s="161"/>
      <c r="J119" s="161"/>
      <c r="N119" s="161"/>
      <c r="O119" s="161"/>
      <c r="P119" s="161"/>
      <c r="Q119" s="161"/>
      <c r="R119" s="161"/>
      <c r="S119" s="161"/>
    </row>
    <row r="120" spans="8:19" ht="15.75" customHeight="1">
      <c r="H120" s="161"/>
      <c r="I120" s="161"/>
      <c r="J120" s="161"/>
      <c r="N120" s="161"/>
      <c r="O120" s="161"/>
      <c r="P120" s="161"/>
      <c r="Q120" s="161"/>
      <c r="R120" s="161"/>
      <c r="S120" s="161"/>
    </row>
    <row r="121" spans="8:19" ht="15.75" customHeight="1">
      <c r="H121" s="161"/>
      <c r="I121" s="161"/>
      <c r="J121" s="161"/>
      <c r="N121" s="161"/>
      <c r="O121" s="161"/>
      <c r="P121" s="161"/>
      <c r="Q121" s="161"/>
      <c r="R121" s="161"/>
      <c r="S121" s="161"/>
    </row>
    <row r="122" spans="8:19" ht="15.75" customHeight="1">
      <c r="H122" s="161"/>
      <c r="I122" s="161"/>
      <c r="J122" s="161"/>
      <c r="N122" s="161"/>
      <c r="O122" s="161"/>
      <c r="P122" s="161"/>
      <c r="Q122" s="161"/>
      <c r="R122" s="161"/>
      <c r="S122" s="161"/>
    </row>
    <row r="123" spans="8:19" ht="15.75" customHeight="1">
      <c r="H123" s="161"/>
      <c r="I123" s="161"/>
      <c r="J123" s="161"/>
      <c r="N123" s="161"/>
      <c r="O123" s="161"/>
      <c r="P123" s="161"/>
      <c r="Q123" s="161"/>
      <c r="R123" s="161"/>
      <c r="S123" s="161"/>
    </row>
    <row r="124" spans="8:19" ht="15.75" customHeight="1">
      <c r="H124" s="161"/>
      <c r="I124" s="161"/>
      <c r="J124" s="161"/>
      <c r="N124" s="161"/>
      <c r="O124" s="161"/>
      <c r="P124" s="161"/>
      <c r="Q124" s="161"/>
      <c r="R124" s="161"/>
      <c r="S124" s="161"/>
    </row>
    <row r="125" spans="8:19" ht="15.75" customHeight="1">
      <c r="H125" s="161"/>
      <c r="I125" s="161"/>
      <c r="J125" s="161"/>
      <c r="N125" s="161"/>
      <c r="O125" s="161"/>
      <c r="P125" s="161"/>
      <c r="Q125" s="161"/>
      <c r="R125" s="161"/>
      <c r="S125" s="161"/>
    </row>
    <row r="126" spans="8:19" ht="15.75" customHeight="1">
      <c r="H126" s="161"/>
      <c r="I126" s="161"/>
      <c r="J126" s="161"/>
      <c r="N126" s="161"/>
      <c r="O126" s="161"/>
      <c r="P126" s="161"/>
      <c r="Q126" s="161"/>
      <c r="R126" s="161"/>
      <c r="S126" s="161"/>
    </row>
    <row r="127" spans="8:19" ht="15.75" customHeight="1">
      <c r="H127" s="161"/>
      <c r="I127" s="161"/>
      <c r="J127" s="161"/>
      <c r="N127" s="161"/>
      <c r="O127" s="161"/>
      <c r="P127" s="161"/>
      <c r="Q127" s="161"/>
      <c r="R127" s="161"/>
      <c r="S127" s="161"/>
    </row>
    <row r="128" spans="8:19" ht="15.75" customHeight="1">
      <c r="H128" s="161"/>
      <c r="I128" s="161"/>
      <c r="J128" s="161"/>
      <c r="N128" s="161"/>
      <c r="O128" s="161"/>
      <c r="P128" s="161"/>
      <c r="Q128" s="161"/>
      <c r="R128" s="161"/>
      <c r="S128" s="161"/>
    </row>
    <row r="129" spans="8:19" ht="15.75" customHeight="1">
      <c r="H129" s="161"/>
      <c r="I129" s="161"/>
      <c r="J129" s="161"/>
      <c r="N129" s="161"/>
      <c r="O129" s="161"/>
      <c r="P129" s="161"/>
      <c r="Q129" s="161"/>
      <c r="R129" s="161"/>
      <c r="S129" s="161"/>
    </row>
    <row r="130" spans="8:19" ht="15.75" customHeight="1">
      <c r="H130" s="161"/>
      <c r="I130" s="161"/>
      <c r="J130" s="161"/>
      <c r="N130" s="161"/>
      <c r="O130" s="161"/>
      <c r="P130" s="161"/>
      <c r="Q130" s="161"/>
      <c r="R130" s="161"/>
      <c r="S130" s="161"/>
    </row>
    <row r="131" spans="8:19" ht="15.75" customHeight="1">
      <c r="H131" s="161"/>
      <c r="I131" s="161"/>
      <c r="J131" s="161"/>
      <c r="N131" s="161"/>
      <c r="O131" s="161"/>
      <c r="P131" s="161"/>
      <c r="Q131" s="161"/>
      <c r="R131" s="161"/>
      <c r="S131" s="161"/>
    </row>
    <row r="132" spans="8:19" ht="15.75" customHeight="1">
      <c r="H132" s="161"/>
      <c r="I132" s="161"/>
      <c r="J132" s="161"/>
      <c r="N132" s="161"/>
      <c r="O132" s="161"/>
      <c r="P132" s="161"/>
      <c r="Q132" s="161"/>
      <c r="R132" s="161"/>
      <c r="S132" s="161"/>
    </row>
    <row r="133" spans="8:19" ht="15.75" customHeight="1">
      <c r="H133" s="161"/>
      <c r="I133" s="161"/>
      <c r="J133" s="161"/>
      <c r="N133" s="161"/>
      <c r="O133" s="161"/>
      <c r="P133" s="161"/>
      <c r="Q133" s="161"/>
      <c r="R133" s="161"/>
      <c r="S133" s="161"/>
    </row>
    <row r="134" spans="8:19" ht="15.75" customHeight="1">
      <c r="H134" s="161"/>
      <c r="I134" s="161"/>
      <c r="J134" s="161"/>
      <c r="N134" s="161"/>
      <c r="O134" s="161"/>
      <c r="P134" s="161"/>
      <c r="Q134" s="161"/>
      <c r="R134" s="161"/>
      <c r="S134" s="161"/>
    </row>
    <row r="135" spans="8:19" ht="15.75" customHeight="1">
      <c r="H135" s="161"/>
      <c r="I135" s="161"/>
      <c r="J135" s="161"/>
      <c r="N135" s="161"/>
      <c r="O135" s="161"/>
      <c r="P135" s="161"/>
      <c r="Q135" s="161"/>
      <c r="R135" s="161"/>
      <c r="S135" s="161"/>
    </row>
    <row r="136" spans="8:19" ht="15.75" customHeight="1">
      <c r="H136" s="161"/>
      <c r="I136" s="161"/>
      <c r="J136" s="161"/>
      <c r="N136" s="161"/>
      <c r="O136" s="161"/>
      <c r="P136" s="161"/>
      <c r="Q136" s="161"/>
      <c r="R136" s="161"/>
      <c r="S136" s="161"/>
    </row>
    <row r="137" spans="8:19" ht="15.75" customHeight="1">
      <c r="H137" s="161"/>
      <c r="I137" s="161"/>
      <c r="J137" s="161"/>
      <c r="N137" s="161"/>
      <c r="O137" s="161"/>
      <c r="P137" s="161"/>
      <c r="Q137" s="161"/>
      <c r="R137" s="161"/>
      <c r="S137" s="161"/>
    </row>
    <row r="138" spans="8:19" ht="15.75" customHeight="1">
      <c r="H138" s="161"/>
      <c r="I138" s="161"/>
      <c r="J138" s="161"/>
      <c r="N138" s="161"/>
      <c r="O138" s="161"/>
      <c r="P138" s="161"/>
      <c r="Q138" s="161"/>
      <c r="R138" s="161"/>
      <c r="S138" s="161"/>
    </row>
    <row r="139" spans="8:19" ht="15.75" customHeight="1">
      <c r="H139" s="161"/>
      <c r="I139" s="161"/>
      <c r="J139" s="161"/>
      <c r="N139" s="161"/>
      <c r="O139" s="161"/>
      <c r="P139" s="161"/>
      <c r="Q139" s="161"/>
      <c r="R139" s="161"/>
      <c r="S139" s="161"/>
    </row>
    <row r="140" spans="8:19" ht="15.75" customHeight="1">
      <c r="H140" s="161"/>
      <c r="I140" s="161"/>
      <c r="J140" s="161"/>
      <c r="N140" s="161"/>
      <c r="O140" s="161"/>
      <c r="P140" s="161"/>
      <c r="Q140" s="161"/>
      <c r="R140" s="161"/>
      <c r="S140" s="161"/>
    </row>
    <row r="141" spans="8:19" ht="15.75" customHeight="1">
      <c r="H141" s="161"/>
      <c r="I141" s="161"/>
      <c r="J141" s="161"/>
      <c r="N141" s="161"/>
      <c r="O141" s="161"/>
      <c r="P141" s="161"/>
      <c r="Q141" s="161"/>
      <c r="R141" s="161"/>
      <c r="S141" s="161"/>
    </row>
    <row r="142" spans="8:19" ht="15.75" customHeight="1">
      <c r="H142" s="161"/>
      <c r="I142" s="161"/>
      <c r="J142" s="161"/>
      <c r="N142" s="161"/>
      <c r="O142" s="161"/>
      <c r="P142" s="161"/>
      <c r="Q142" s="161"/>
      <c r="R142" s="161"/>
      <c r="S142" s="161"/>
    </row>
    <row r="143" spans="8:19" ht="15.75" customHeight="1">
      <c r="H143" s="161"/>
      <c r="I143" s="161"/>
      <c r="J143" s="161"/>
      <c r="N143" s="161"/>
      <c r="O143" s="161"/>
      <c r="P143" s="161"/>
      <c r="Q143" s="161"/>
      <c r="R143" s="161"/>
      <c r="S143" s="161"/>
    </row>
    <row r="144" spans="8:19" ht="15.75" customHeight="1">
      <c r="H144" s="161"/>
      <c r="I144" s="161"/>
      <c r="J144" s="161"/>
      <c r="N144" s="161"/>
      <c r="O144" s="161"/>
      <c r="P144" s="161"/>
      <c r="Q144" s="161"/>
      <c r="R144" s="161"/>
      <c r="S144" s="161"/>
    </row>
    <row r="145" spans="8:19" ht="15.75" customHeight="1">
      <c r="H145" s="161"/>
      <c r="I145" s="161"/>
      <c r="J145" s="161"/>
      <c r="N145" s="161"/>
      <c r="O145" s="161"/>
      <c r="P145" s="161"/>
      <c r="Q145" s="161"/>
      <c r="R145" s="161"/>
      <c r="S145" s="161"/>
    </row>
    <row r="146" spans="8:19" ht="15.75" customHeight="1">
      <c r="H146" s="161"/>
      <c r="I146" s="161"/>
      <c r="J146" s="161"/>
      <c r="N146" s="161"/>
      <c r="O146" s="161"/>
      <c r="P146" s="161"/>
      <c r="Q146" s="161"/>
      <c r="R146" s="161"/>
      <c r="S146" s="161"/>
    </row>
    <row r="147" spans="8:19" ht="15.75" customHeight="1">
      <c r="H147" s="161"/>
      <c r="I147" s="161"/>
      <c r="J147" s="161"/>
      <c r="N147" s="161"/>
      <c r="O147" s="161"/>
      <c r="P147" s="161"/>
      <c r="Q147" s="161"/>
      <c r="R147" s="161"/>
      <c r="S147" s="161"/>
    </row>
    <row r="148" spans="8:19" ht="15.75" customHeight="1">
      <c r="H148" s="161"/>
      <c r="I148" s="161"/>
      <c r="J148" s="161"/>
      <c r="N148" s="161"/>
      <c r="O148" s="161"/>
      <c r="P148" s="161"/>
      <c r="Q148" s="161"/>
      <c r="R148" s="161"/>
      <c r="S148" s="161"/>
    </row>
    <row r="149" spans="8:19" ht="15.75" customHeight="1">
      <c r="H149" s="161"/>
      <c r="I149" s="161"/>
      <c r="J149" s="161"/>
      <c r="N149" s="161"/>
      <c r="O149" s="161"/>
      <c r="P149" s="161"/>
      <c r="Q149" s="161"/>
      <c r="R149" s="161"/>
      <c r="S149" s="161"/>
    </row>
    <row r="150" spans="8:19" ht="15.75" customHeight="1">
      <c r="H150" s="161"/>
      <c r="I150" s="161"/>
      <c r="J150" s="161"/>
      <c r="N150" s="161"/>
      <c r="O150" s="161"/>
      <c r="P150" s="161"/>
      <c r="Q150" s="161"/>
      <c r="R150" s="161"/>
      <c r="S150" s="161"/>
    </row>
    <row r="151" spans="8:19" ht="15.75" customHeight="1">
      <c r="H151" s="161"/>
      <c r="I151" s="161"/>
      <c r="J151" s="161"/>
      <c r="N151" s="161"/>
      <c r="O151" s="161"/>
      <c r="P151" s="161"/>
      <c r="Q151" s="161"/>
      <c r="R151" s="161"/>
      <c r="S151" s="161"/>
    </row>
    <row r="152" spans="8:19" ht="15.75" customHeight="1">
      <c r="H152" s="161"/>
      <c r="I152" s="161"/>
      <c r="J152" s="161"/>
      <c r="N152" s="161"/>
      <c r="O152" s="161"/>
      <c r="P152" s="161"/>
      <c r="Q152" s="161"/>
      <c r="R152" s="161"/>
      <c r="S152" s="161"/>
    </row>
    <row r="153" spans="8:19" ht="15.75" customHeight="1">
      <c r="H153" s="161"/>
      <c r="I153" s="161"/>
      <c r="J153" s="161"/>
      <c r="N153" s="161"/>
      <c r="O153" s="161"/>
      <c r="P153" s="161"/>
      <c r="Q153" s="161"/>
      <c r="R153" s="161"/>
      <c r="S153" s="161"/>
    </row>
    <row r="154" spans="8:19" ht="15.75" customHeight="1">
      <c r="H154" s="161"/>
      <c r="I154" s="161"/>
      <c r="J154" s="161"/>
      <c r="N154" s="161"/>
      <c r="O154" s="161"/>
      <c r="P154" s="161"/>
      <c r="Q154" s="161"/>
      <c r="R154" s="161"/>
      <c r="S154" s="161"/>
    </row>
    <row r="155" spans="8:19" ht="15.75" customHeight="1">
      <c r="H155" s="161"/>
      <c r="I155" s="161"/>
      <c r="J155" s="161"/>
      <c r="N155" s="161"/>
      <c r="O155" s="161"/>
      <c r="P155" s="161"/>
      <c r="Q155" s="161"/>
      <c r="R155" s="161"/>
      <c r="S155" s="161"/>
    </row>
    <row r="156" spans="8:19" ht="15.75" customHeight="1">
      <c r="H156" s="161"/>
      <c r="I156" s="161"/>
      <c r="J156" s="161"/>
      <c r="N156" s="161"/>
      <c r="O156" s="161"/>
      <c r="P156" s="161"/>
      <c r="Q156" s="161"/>
      <c r="R156" s="161"/>
      <c r="S156" s="161"/>
    </row>
    <row r="157" spans="8:19" ht="15.75" customHeight="1">
      <c r="H157" s="161"/>
      <c r="I157" s="161"/>
      <c r="J157" s="161"/>
      <c r="N157" s="161"/>
      <c r="O157" s="161"/>
      <c r="P157" s="161"/>
      <c r="Q157" s="161"/>
      <c r="R157" s="161"/>
      <c r="S157" s="161"/>
    </row>
    <row r="158" spans="8:19" ht="15.75" customHeight="1">
      <c r="H158" s="161"/>
      <c r="I158" s="161"/>
      <c r="J158" s="161"/>
      <c r="N158" s="161"/>
      <c r="O158" s="161"/>
      <c r="P158" s="161"/>
      <c r="Q158" s="161"/>
      <c r="R158" s="161"/>
      <c r="S158" s="161"/>
    </row>
    <row r="159" spans="8:19" ht="15.75" customHeight="1">
      <c r="H159" s="161"/>
      <c r="I159" s="161"/>
      <c r="J159" s="161"/>
      <c r="N159" s="161"/>
      <c r="O159" s="161"/>
      <c r="P159" s="161"/>
      <c r="Q159" s="161"/>
      <c r="R159" s="161"/>
      <c r="S159" s="161"/>
    </row>
    <row r="160" spans="8:19" ht="15.75" customHeight="1">
      <c r="H160" s="161"/>
      <c r="I160" s="161"/>
      <c r="J160" s="161"/>
      <c r="N160" s="161"/>
      <c r="O160" s="161"/>
      <c r="P160" s="161"/>
      <c r="Q160" s="161"/>
      <c r="R160" s="161"/>
      <c r="S160" s="161"/>
    </row>
    <row r="161" spans="8:19" ht="15.75" customHeight="1">
      <c r="H161" s="161"/>
      <c r="I161" s="161"/>
      <c r="J161" s="161"/>
      <c r="N161" s="161"/>
      <c r="O161" s="161"/>
      <c r="P161" s="161"/>
      <c r="Q161" s="161"/>
      <c r="R161" s="161"/>
      <c r="S161" s="161"/>
    </row>
    <row r="162" spans="8:19" ht="15.75" customHeight="1">
      <c r="H162" s="161"/>
      <c r="I162" s="161"/>
      <c r="J162" s="161"/>
      <c r="N162" s="161"/>
      <c r="O162" s="161"/>
      <c r="P162" s="161"/>
      <c r="Q162" s="161"/>
      <c r="R162" s="161"/>
      <c r="S162" s="161"/>
    </row>
    <row r="163" spans="8:19" ht="15.75" customHeight="1">
      <c r="H163" s="161"/>
      <c r="I163" s="161"/>
      <c r="J163" s="161"/>
      <c r="N163" s="161"/>
      <c r="O163" s="161"/>
      <c r="P163" s="161"/>
      <c r="Q163" s="161"/>
      <c r="R163" s="161"/>
      <c r="S163" s="161"/>
    </row>
    <row r="164" spans="8:19" ht="15.75" customHeight="1">
      <c r="H164" s="161"/>
      <c r="I164" s="161"/>
      <c r="J164" s="161"/>
      <c r="N164" s="161"/>
      <c r="O164" s="161"/>
      <c r="P164" s="161"/>
      <c r="Q164" s="161"/>
      <c r="R164" s="161"/>
      <c r="S164" s="161"/>
    </row>
    <row r="165" spans="8:19" ht="15.75" customHeight="1">
      <c r="H165" s="161"/>
      <c r="I165" s="161"/>
      <c r="J165" s="161"/>
      <c r="N165" s="161"/>
      <c r="O165" s="161"/>
      <c r="P165" s="161"/>
      <c r="Q165" s="161"/>
      <c r="R165" s="161"/>
      <c r="S165" s="161"/>
    </row>
    <row r="166" spans="8:19" ht="15.75" customHeight="1">
      <c r="H166" s="161"/>
      <c r="I166" s="161"/>
      <c r="J166" s="161"/>
      <c r="N166" s="161"/>
      <c r="O166" s="161"/>
      <c r="P166" s="161"/>
      <c r="Q166" s="161"/>
      <c r="R166" s="161"/>
      <c r="S166" s="161"/>
    </row>
    <row r="167" spans="8:19" ht="15.75" customHeight="1">
      <c r="H167" s="161"/>
      <c r="I167" s="161"/>
      <c r="J167" s="161"/>
      <c r="N167" s="161"/>
      <c r="O167" s="161"/>
      <c r="P167" s="161"/>
      <c r="Q167" s="161"/>
      <c r="R167" s="161"/>
      <c r="S167" s="161"/>
    </row>
    <row r="168" spans="8:19" ht="15.75" customHeight="1">
      <c r="H168" s="161"/>
      <c r="I168" s="161"/>
      <c r="J168" s="161"/>
      <c r="N168" s="161"/>
      <c r="O168" s="161"/>
      <c r="P168" s="161"/>
      <c r="Q168" s="161"/>
      <c r="R168" s="161"/>
      <c r="S168" s="161"/>
    </row>
    <row r="169" spans="8:19" ht="15.75" customHeight="1">
      <c r="H169" s="161"/>
      <c r="I169" s="161"/>
      <c r="J169" s="161"/>
      <c r="N169" s="161"/>
      <c r="O169" s="161"/>
      <c r="P169" s="161"/>
      <c r="Q169" s="161"/>
      <c r="R169" s="161"/>
      <c r="S169" s="161"/>
    </row>
    <row r="170" spans="8:19" ht="15.75" customHeight="1">
      <c r="H170" s="161"/>
      <c r="I170" s="161"/>
      <c r="J170" s="161"/>
      <c r="N170" s="161"/>
      <c r="O170" s="161"/>
      <c r="P170" s="161"/>
      <c r="Q170" s="161"/>
      <c r="R170" s="161"/>
      <c r="S170" s="161"/>
    </row>
    <row r="171" spans="8:19" ht="15.75" customHeight="1">
      <c r="H171" s="161"/>
      <c r="I171" s="161"/>
      <c r="J171" s="161"/>
      <c r="N171" s="161"/>
      <c r="O171" s="161"/>
      <c r="P171" s="161"/>
      <c r="Q171" s="161"/>
      <c r="R171" s="161"/>
      <c r="S171" s="161"/>
    </row>
    <row r="172" spans="8:19" ht="15.75" customHeight="1">
      <c r="H172" s="161"/>
      <c r="I172" s="161"/>
      <c r="J172" s="161"/>
      <c r="N172" s="161"/>
      <c r="O172" s="161"/>
      <c r="P172" s="161"/>
      <c r="Q172" s="161"/>
      <c r="R172" s="161"/>
      <c r="S172" s="161"/>
    </row>
    <row r="173" spans="8:19" ht="15.75" customHeight="1">
      <c r="H173" s="161"/>
      <c r="I173" s="161"/>
      <c r="J173" s="161"/>
      <c r="N173" s="161"/>
      <c r="O173" s="161"/>
      <c r="P173" s="161"/>
      <c r="Q173" s="161"/>
      <c r="R173" s="161"/>
      <c r="S173" s="161"/>
    </row>
    <row r="174" spans="8:19" ht="15.75" customHeight="1">
      <c r="H174" s="161"/>
      <c r="I174" s="161"/>
      <c r="J174" s="161"/>
      <c r="N174" s="161"/>
      <c r="O174" s="161"/>
      <c r="P174" s="161"/>
      <c r="Q174" s="161"/>
      <c r="R174" s="161"/>
      <c r="S174" s="161"/>
    </row>
    <row r="175" spans="8:19" ht="15.75" customHeight="1">
      <c r="H175" s="161"/>
      <c r="I175" s="161"/>
      <c r="J175" s="161"/>
      <c r="N175" s="161"/>
      <c r="O175" s="161"/>
      <c r="P175" s="161"/>
      <c r="Q175" s="161"/>
      <c r="R175" s="161"/>
      <c r="S175" s="161"/>
    </row>
    <row r="176" spans="8:19" ht="15.75" customHeight="1">
      <c r="H176" s="161"/>
      <c r="I176" s="161"/>
      <c r="J176" s="161"/>
      <c r="N176" s="161"/>
      <c r="O176" s="161"/>
      <c r="P176" s="161"/>
      <c r="Q176" s="161"/>
      <c r="R176" s="161"/>
      <c r="S176" s="161"/>
    </row>
    <row r="177" spans="8:19" ht="15.75" customHeight="1">
      <c r="H177" s="161"/>
      <c r="I177" s="161"/>
      <c r="J177" s="161"/>
      <c r="N177" s="161"/>
      <c r="O177" s="161"/>
      <c r="P177" s="161"/>
      <c r="Q177" s="161"/>
      <c r="R177" s="161"/>
      <c r="S177" s="161"/>
    </row>
    <row r="178" spans="8:19" ht="15.75" customHeight="1">
      <c r="H178" s="161"/>
      <c r="I178" s="161"/>
      <c r="J178" s="161"/>
      <c r="N178" s="161"/>
      <c r="O178" s="161"/>
      <c r="P178" s="161"/>
      <c r="Q178" s="161"/>
      <c r="R178" s="161"/>
      <c r="S178" s="161"/>
    </row>
    <row r="179" spans="8:19" ht="15.75" customHeight="1">
      <c r="H179" s="161"/>
      <c r="I179" s="161"/>
      <c r="J179" s="161"/>
      <c r="N179" s="161"/>
      <c r="O179" s="161"/>
      <c r="P179" s="161"/>
      <c r="Q179" s="161"/>
      <c r="R179" s="161"/>
      <c r="S179" s="161"/>
    </row>
    <row r="180" spans="8:19" ht="15.75" customHeight="1">
      <c r="H180" s="161"/>
      <c r="I180" s="161"/>
      <c r="J180" s="161"/>
      <c r="N180" s="161"/>
      <c r="O180" s="161"/>
      <c r="P180" s="161"/>
      <c r="Q180" s="161"/>
      <c r="R180" s="161"/>
      <c r="S180" s="161"/>
    </row>
    <row r="181" spans="8:19" ht="15.75" customHeight="1">
      <c r="H181" s="161"/>
      <c r="I181" s="161"/>
      <c r="J181" s="161"/>
      <c r="N181" s="161"/>
      <c r="O181" s="161"/>
      <c r="P181" s="161"/>
      <c r="Q181" s="161"/>
      <c r="R181" s="161"/>
      <c r="S181" s="161"/>
    </row>
    <row r="182" spans="8:19" ht="15.75" customHeight="1">
      <c r="H182" s="161"/>
      <c r="I182" s="161"/>
      <c r="J182" s="161"/>
      <c r="N182" s="161"/>
      <c r="O182" s="161"/>
      <c r="P182" s="161"/>
      <c r="Q182" s="161"/>
      <c r="R182" s="161"/>
      <c r="S182" s="161"/>
    </row>
    <row r="183" spans="8:19" ht="15.75" customHeight="1">
      <c r="H183" s="161"/>
      <c r="I183" s="161"/>
      <c r="J183" s="161"/>
      <c r="N183" s="161"/>
      <c r="O183" s="161"/>
      <c r="P183" s="161"/>
      <c r="Q183" s="161"/>
      <c r="R183" s="161"/>
      <c r="S183" s="161"/>
    </row>
    <row r="184" spans="8:19" ht="15.75" customHeight="1">
      <c r="H184" s="161"/>
      <c r="I184" s="161"/>
      <c r="J184" s="161"/>
      <c r="N184" s="161"/>
      <c r="O184" s="161"/>
      <c r="P184" s="161"/>
      <c r="Q184" s="161"/>
      <c r="R184" s="161"/>
      <c r="S184" s="161"/>
    </row>
    <row r="185" spans="8:19" ht="15.75" customHeight="1">
      <c r="H185" s="161"/>
      <c r="I185" s="161"/>
      <c r="J185" s="161"/>
      <c r="N185" s="161"/>
      <c r="O185" s="161"/>
      <c r="P185" s="161"/>
      <c r="Q185" s="161"/>
      <c r="R185" s="161"/>
      <c r="S185" s="161"/>
    </row>
    <row r="186" spans="8:19" ht="15.75" customHeight="1">
      <c r="H186" s="161"/>
      <c r="I186" s="161"/>
      <c r="J186" s="161"/>
      <c r="N186" s="161"/>
      <c r="O186" s="161"/>
      <c r="P186" s="161"/>
      <c r="Q186" s="161"/>
      <c r="R186" s="161"/>
      <c r="S186" s="161"/>
    </row>
    <row r="187" spans="8:19" ht="15.75" customHeight="1">
      <c r="H187" s="161"/>
      <c r="I187" s="161"/>
      <c r="J187" s="161"/>
      <c r="N187" s="161"/>
      <c r="O187" s="161"/>
      <c r="P187" s="161"/>
      <c r="Q187" s="161"/>
      <c r="R187" s="161"/>
      <c r="S187" s="161"/>
    </row>
    <row r="188" spans="8:19" ht="15.75" customHeight="1">
      <c r="H188" s="161"/>
      <c r="I188" s="161"/>
      <c r="J188" s="161"/>
      <c r="N188" s="161"/>
      <c r="O188" s="161"/>
      <c r="P188" s="161"/>
      <c r="Q188" s="161"/>
      <c r="R188" s="161"/>
      <c r="S188" s="161"/>
    </row>
    <row r="189" spans="8:19" ht="15.75" customHeight="1">
      <c r="H189" s="161"/>
      <c r="I189" s="161"/>
      <c r="J189" s="161"/>
      <c r="N189" s="161"/>
      <c r="O189" s="161"/>
      <c r="P189" s="161"/>
      <c r="Q189" s="161"/>
      <c r="R189" s="161"/>
      <c r="S189" s="161"/>
    </row>
    <row r="190" spans="8:19" ht="15.75" customHeight="1">
      <c r="H190" s="161"/>
      <c r="I190" s="161"/>
      <c r="J190" s="161"/>
      <c r="N190" s="161"/>
      <c r="O190" s="161"/>
      <c r="P190" s="161"/>
      <c r="Q190" s="161"/>
      <c r="R190" s="161"/>
      <c r="S190" s="161"/>
    </row>
    <row r="191" spans="8:19" ht="15.75" customHeight="1">
      <c r="H191" s="161"/>
      <c r="I191" s="161"/>
      <c r="J191" s="161"/>
      <c r="N191" s="161"/>
      <c r="O191" s="161"/>
      <c r="P191" s="161"/>
      <c r="Q191" s="161"/>
      <c r="R191" s="161"/>
      <c r="S191" s="161"/>
    </row>
    <row r="192" spans="8:19" ht="15.75" customHeight="1">
      <c r="H192" s="161"/>
      <c r="I192" s="161"/>
      <c r="J192" s="161"/>
      <c r="N192" s="161"/>
      <c r="O192" s="161"/>
      <c r="P192" s="161"/>
      <c r="Q192" s="161"/>
      <c r="R192" s="161"/>
      <c r="S192" s="161"/>
    </row>
    <row r="193" spans="8:19" ht="15.75" customHeight="1">
      <c r="H193" s="161"/>
      <c r="I193" s="161"/>
      <c r="J193" s="161"/>
      <c r="N193" s="161"/>
      <c r="O193" s="161"/>
      <c r="P193" s="161"/>
      <c r="Q193" s="161"/>
      <c r="R193" s="161"/>
      <c r="S193" s="161"/>
    </row>
    <row r="194" spans="8:19" ht="15.75" customHeight="1">
      <c r="H194" s="161"/>
      <c r="I194" s="161"/>
      <c r="J194" s="161"/>
      <c r="N194" s="161"/>
      <c r="O194" s="161"/>
      <c r="P194" s="161"/>
      <c r="Q194" s="161"/>
      <c r="R194" s="161"/>
      <c r="S194" s="161"/>
    </row>
    <row r="195" spans="8:19" ht="15.75" customHeight="1">
      <c r="H195" s="161"/>
      <c r="I195" s="161"/>
      <c r="J195" s="161"/>
      <c r="N195" s="161"/>
      <c r="O195" s="161"/>
      <c r="P195" s="161"/>
      <c r="Q195" s="161"/>
      <c r="R195" s="161"/>
      <c r="S195" s="161"/>
    </row>
    <row r="196" spans="8:19" ht="15.75" customHeight="1">
      <c r="H196" s="161"/>
      <c r="I196" s="161"/>
      <c r="J196" s="161"/>
      <c r="N196" s="161"/>
      <c r="O196" s="161"/>
      <c r="P196" s="161"/>
      <c r="Q196" s="161"/>
      <c r="R196" s="161"/>
      <c r="S196" s="161"/>
    </row>
    <row r="197" spans="8:19" ht="15.75" customHeight="1">
      <c r="H197" s="161"/>
      <c r="I197" s="161"/>
      <c r="J197" s="161"/>
      <c r="N197" s="161"/>
      <c r="O197" s="161"/>
      <c r="P197" s="161"/>
      <c r="Q197" s="161"/>
      <c r="R197" s="161"/>
      <c r="S197" s="161"/>
    </row>
    <row r="198" spans="8:19" ht="15.75" customHeight="1">
      <c r="H198" s="161"/>
      <c r="I198" s="161"/>
      <c r="J198" s="161"/>
      <c r="N198" s="161"/>
      <c r="O198" s="161"/>
      <c r="P198" s="161"/>
      <c r="Q198" s="161"/>
      <c r="R198" s="161"/>
      <c r="S198" s="161"/>
    </row>
    <row r="199" spans="8:19" ht="15.75" customHeight="1">
      <c r="H199" s="161"/>
      <c r="I199" s="161"/>
      <c r="J199" s="161"/>
      <c r="N199" s="161"/>
      <c r="O199" s="161"/>
      <c r="P199" s="161"/>
      <c r="Q199" s="161"/>
      <c r="R199" s="161"/>
      <c r="S199" s="161"/>
    </row>
    <row r="200" spans="8:19" ht="15.75" customHeight="1">
      <c r="H200" s="161"/>
      <c r="I200" s="161"/>
      <c r="J200" s="161"/>
      <c r="N200" s="161"/>
      <c r="O200" s="161"/>
      <c r="P200" s="161"/>
      <c r="Q200" s="161"/>
      <c r="R200" s="161"/>
      <c r="S200" s="161"/>
    </row>
    <row r="201" spans="8:19" ht="15.75" customHeight="1">
      <c r="H201" s="161"/>
      <c r="I201" s="161"/>
      <c r="J201" s="161"/>
      <c r="N201" s="161"/>
      <c r="O201" s="161"/>
      <c r="P201" s="161"/>
      <c r="Q201" s="161"/>
      <c r="R201" s="161"/>
      <c r="S201" s="161"/>
    </row>
    <row r="202" spans="8:19" ht="15.75" customHeight="1">
      <c r="H202" s="161"/>
      <c r="I202" s="161"/>
      <c r="J202" s="161"/>
      <c r="N202" s="161"/>
      <c r="O202" s="161"/>
      <c r="P202" s="161"/>
      <c r="Q202" s="161"/>
      <c r="R202" s="161"/>
      <c r="S202" s="161"/>
    </row>
    <row r="203" spans="8:19" ht="15.75" customHeight="1">
      <c r="H203" s="161"/>
      <c r="I203" s="161"/>
      <c r="J203" s="161"/>
      <c r="N203" s="161"/>
      <c r="O203" s="161"/>
      <c r="P203" s="161"/>
      <c r="Q203" s="161"/>
      <c r="R203" s="161"/>
      <c r="S203" s="161"/>
    </row>
    <row r="204" spans="8:19" ht="15.75" customHeight="1">
      <c r="H204" s="161"/>
      <c r="I204" s="161"/>
      <c r="J204" s="161"/>
      <c r="N204" s="161"/>
      <c r="O204" s="161"/>
      <c r="P204" s="161"/>
      <c r="Q204" s="161"/>
      <c r="R204" s="161"/>
      <c r="S204" s="161"/>
    </row>
    <row r="205" spans="8:19" ht="15.75" customHeight="1">
      <c r="H205" s="161"/>
      <c r="I205" s="161"/>
      <c r="J205" s="161"/>
      <c r="N205" s="161"/>
      <c r="O205" s="161"/>
      <c r="P205" s="161"/>
      <c r="Q205" s="161"/>
      <c r="R205" s="161"/>
      <c r="S205" s="161"/>
    </row>
    <row r="206" spans="8:19" ht="15.75" customHeight="1">
      <c r="H206" s="161"/>
      <c r="I206" s="161"/>
      <c r="J206" s="161"/>
      <c r="N206" s="161"/>
      <c r="O206" s="161"/>
      <c r="P206" s="161"/>
      <c r="Q206" s="161"/>
      <c r="R206" s="161"/>
      <c r="S206" s="161"/>
    </row>
    <row r="207" spans="8:19" ht="15.75" customHeight="1">
      <c r="H207" s="161"/>
      <c r="I207" s="161"/>
      <c r="J207" s="161"/>
      <c r="N207" s="161"/>
      <c r="O207" s="161"/>
      <c r="P207" s="161"/>
      <c r="Q207" s="161"/>
      <c r="R207" s="161"/>
      <c r="S207" s="161"/>
    </row>
    <row r="208" spans="8:19" ht="15.75" customHeight="1">
      <c r="H208" s="161"/>
      <c r="I208" s="161"/>
      <c r="J208" s="161"/>
      <c r="N208" s="161"/>
      <c r="O208" s="161"/>
      <c r="P208" s="161"/>
      <c r="Q208" s="161"/>
      <c r="R208" s="161"/>
      <c r="S208" s="161"/>
    </row>
    <row r="209" spans="8:19" ht="15.75" customHeight="1">
      <c r="H209" s="161"/>
      <c r="I209" s="161"/>
      <c r="J209" s="161"/>
      <c r="N209" s="161"/>
      <c r="O209" s="161"/>
      <c r="P209" s="161"/>
      <c r="Q209" s="161"/>
      <c r="R209" s="161"/>
      <c r="S209" s="161"/>
    </row>
    <row r="210" spans="8:19" ht="15.75" customHeight="1">
      <c r="H210" s="161"/>
      <c r="I210" s="161"/>
      <c r="J210" s="161"/>
      <c r="N210" s="161"/>
      <c r="O210" s="161"/>
      <c r="P210" s="161"/>
      <c r="Q210" s="161"/>
      <c r="R210" s="161"/>
      <c r="S210" s="161"/>
    </row>
    <row r="211" spans="8:19" ht="15.75" customHeight="1">
      <c r="H211" s="161"/>
      <c r="I211" s="161"/>
      <c r="J211" s="161"/>
      <c r="N211" s="161"/>
      <c r="O211" s="161"/>
      <c r="P211" s="161"/>
      <c r="Q211" s="161"/>
      <c r="R211" s="161"/>
      <c r="S211" s="161"/>
    </row>
    <row r="212" spans="8:19" ht="15.75" customHeight="1">
      <c r="H212" s="161"/>
      <c r="I212" s="161"/>
      <c r="J212" s="161"/>
      <c r="N212" s="161"/>
      <c r="O212" s="161"/>
      <c r="P212" s="161"/>
      <c r="Q212" s="161"/>
      <c r="R212" s="161"/>
      <c r="S212" s="161"/>
    </row>
    <row r="213" spans="8:19" ht="15.75" customHeight="1">
      <c r="H213" s="161"/>
      <c r="I213" s="161"/>
      <c r="J213" s="161"/>
      <c r="N213" s="161"/>
      <c r="O213" s="161"/>
      <c r="P213" s="161"/>
      <c r="Q213" s="161"/>
      <c r="R213" s="161"/>
      <c r="S213" s="161"/>
    </row>
    <row r="214" spans="8:19" ht="15.75" customHeight="1">
      <c r="H214" s="161"/>
      <c r="I214" s="161"/>
      <c r="J214" s="161"/>
      <c r="N214" s="161"/>
      <c r="O214" s="161"/>
      <c r="P214" s="161"/>
      <c r="Q214" s="161"/>
      <c r="R214" s="161"/>
      <c r="S214" s="161"/>
    </row>
    <row r="215" spans="8:19" ht="15.75" customHeight="1">
      <c r="H215" s="161"/>
      <c r="I215" s="161"/>
      <c r="J215" s="161"/>
      <c r="N215" s="161"/>
      <c r="O215" s="161"/>
      <c r="P215" s="161"/>
      <c r="Q215" s="161"/>
      <c r="R215" s="161"/>
      <c r="S215" s="161"/>
    </row>
    <row r="216" spans="8:19" ht="15.75" customHeight="1">
      <c r="H216" s="161"/>
      <c r="I216" s="161"/>
      <c r="J216" s="161"/>
      <c r="N216" s="161"/>
      <c r="O216" s="161"/>
      <c r="P216" s="161"/>
      <c r="Q216" s="161"/>
      <c r="R216" s="161"/>
      <c r="S216" s="161"/>
    </row>
    <row r="217" spans="8:19" ht="15.75" customHeight="1">
      <c r="H217" s="161"/>
      <c r="I217" s="161"/>
      <c r="J217" s="161"/>
      <c r="N217" s="161"/>
      <c r="O217" s="161"/>
      <c r="P217" s="161"/>
      <c r="Q217" s="161"/>
      <c r="R217" s="161"/>
      <c r="S217" s="161"/>
    </row>
    <row r="218" spans="8:19" ht="15.75" customHeight="1">
      <c r="H218" s="161"/>
      <c r="I218" s="161"/>
      <c r="J218" s="161"/>
      <c r="N218" s="161"/>
      <c r="O218" s="161"/>
      <c r="P218" s="161"/>
      <c r="Q218" s="161"/>
      <c r="R218" s="161"/>
      <c r="S218" s="161"/>
    </row>
    <row r="219" spans="8:19" ht="15.75" customHeight="1">
      <c r="H219" s="161"/>
      <c r="I219" s="161"/>
      <c r="J219" s="161"/>
      <c r="N219" s="161"/>
      <c r="O219" s="161"/>
      <c r="P219" s="161"/>
      <c r="Q219" s="161"/>
      <c r="R219" s="161"/>
      <c r="S219" s="161"/>
    </row>
    <row r="220" spans="8:19" ht="15.75" customHeight="1">
      <c r="H220" s="161"/>
      <c r="I220" s="161"/>
      <c r="J220" s="161"/>
      <c r="N220" s="161"/>
      <c r="O220" s="161"/>
      <c r="P220" s="161"/>
      <c r="Q220" s="161"/>
      <c r="R220" s="161"/>
      <c r="S220" s="161"/>
    </row>
    <row r="221" spans="8:19" ht="15.75" customHeight="1">
      <c r="H221" s="161"/>
      <c r="I221" s="161"/>
      <c r="J221" s="161"/>
      <c r="N221" s="161"/>
      <c r="O221" s="161"/>
      <c r="P221" s="161"/>
      <c r="Q221" s="161"/>
      <c r="R221" s="161"/>
      <c r="S221" s="161"/>
    </row>
    <row r="222" spans="8:19" ht="15.75" customHeight="1">
      <c r="H222" s="161"/>
      <c r="I222" s="161"/>
      <c r="J222" s="161"/>
      <c r="N222" s="161"/>
      <c r="O222" s="161"/>
      <c r="P222" s="161"/>
      <c r="Q222" s="161"/>
      <c r="R222" s="161"/>
      <c r="S222" s="161"/>
    </row>
    <row r="223" spans="8:19" ht="15.75" customHeight="1">
      <c r="H223" s="161"/>
      <c r="I223" s="161"/>
      <c r="J223" s="161"/>
      <c r="N223" s="161"/>
      <c r="O223" s="161"/>
      <c r="P223" s="161"/>
      <c r="Q223" s="161"/>
      <c r="R223" s="161"/>
      <c r="S223" s="161"/>
    </row>
    <row r="224" spans="8:19" ht="15.75" customHeight="1">
      <c r="H224" s="161"/>
      <c r="I224" s="161"/>
      <c r="J224" s="161"/>
      <c r="N224" s="161"/>
      <c r="O224" s="161"/>
      <c r="P224" s="161"/>
      <c r="Q224" s="161"/>
      <c r="R224" s="161"/>
      <c r="S224" s="161"/>
    </row>
    <row r="225" spans="8:19" ht="15.75" customHeight="1">
      <c r="H225" s="161"/>
      <c r="I225" s="161"/>
      <c r="J225" s="161"/>
      <c r="N225" s="161"/>
      <c r="O225" s="161"/>
      <c r="P225" s="161"/>
      <c r="Q225" s="161"/>
      <c r="R225" s="161"/>
      <c r="S225" s="161"/>
    </row>
    <row r="226" spans="8:19" ht="15.75" customHeight="1">
      <c r="H226" s="161"/>
      <c r="I226" s="161"/>
      <c r="J226" s="161"/>
      <c r="N226" s="161"/>
      <c r="O226" s="161"/>
      <c r="P226" s="161"/>
      <c r="Q226" s="161"/>
      <c r="R226" s="161"/>
      <c r="S226" s="161"/>
    </row>
    <row r="227" spans="8:19" ht="15.75" customHeight="1">
      <c r="H227" s="161"/>
      <c r="I227" s="161"/>
      <c r="J227" s="161"/>
      <c r="N227" s="161"/>
      <c r="O227" s="161"/>
      <c r="P227" s="161"/>
      <c r="Q227" s="161"/>
      <c r="R227" s="161"/>
      <c r="S227" s="161"/>
    </row>
    <row r="228" spans="8:19" ht="15.75" customHeight="1">
      <c r="H228" s="161"/>
      <c r="I228" s="161"/>
      <c r="J228" s="161"/>
      <c r="N228" s="161"/>
      <c r="O228" s="161"/>
      <c r="P228" s="161"/>
      <c r="Q228" s="161"/>
      <c r="R228" s="161"/>
      <c r="S228" s="161"/>
    </row>
    <row r="229" spans="8:19" ht="15.75" customHeight="1">
      <c r="H229" s="161"/>
      <c r="I229" s="161"/>
      <c r="J229" s="161"/>
      <c r="N229" s="161"/>
      <c r="O229" s="161"/>
      <c r="P229" s="161"/>
      <c r="Q229" s="161"/>
      <c r="R229" s="161"/>
      <c r="S229" s="161"/>
    </row>
    <row r="230" spans="8:19" ht="15.75" customHeight="1">
      <c r="H230" s="161"/>
      <c r="I230" s="161"/>
      <c r="J230" s="161"/>
      <c r="N230" s="161"/>
      <c r="O230" s="161"/>
      <c r="P230" s="161"/>
      <c r="Q230" s="161"/>
      <c r="R230" s="161"/>
      <c r="S230" s="161"/>
    </row>
    <row r="231" spans="8:19" ht="15.75" customHeight="1">
      <c r="H231" s="161"/>
      <c r="I231" s="161"/>
      <c r="J231" s="161"/>
      <c r="N231" s="161"/>
      <c r="O231" s="161"/>
      <c r="P231" s="161"/>
      <c r="Q231" s="161"/>
      <c r="R231" s="161"/>
      <c r="S231" s="161"/>
    </row>
    <row r="232" spans="8:19" ht="15.75" customHeight="1">
      <c r="H232" s="161"/>
      <c r="I232" s="161"/>
      <c r="J232" s="161"/>
      <c r="N232" s="161"/>
      <c r="O232" s="161"/>
      <c r="P232" s="161"/>
      <c r="Q232" s="161"/>
      <c r="R232" s="161"/>
      <c r="S232" s="161"/>
    </row>
    <row r="233" spans="8:19" ht="15.75" customHeight="1">
      <c r="H233" s="161"/>
      <c r="I233" s="161"/>
      <c r="J233" s="161"/>
      <c r="N233" s="161"/>
      <c r="O233" s="161"/>
      <c r="P233" s="161"/>
      <c r="Q233" s="161"/>
      <c r="R233" s="161"/>
      <c r="S233" s="161"/>
    </row>
    <row r="234" spans="8:19" ht="15.75" customHeight="1">
      <c r="H234" s="161"/>
      <c r="I234" s="161"/>
      <c r="J234" s="161"/>
      <c r="N234" s="161"/>
      <c r="O234" s="161"/>
      <c r="P234" s="161"/>
      <c r="Q234" s="161"/>
      <c r="R234" s="161"/>
      <c r="S234" s="161"/>
    </row>
    <row r="235" spans="8:19" ht="15.75" customHeight="1">
      <c r="H235" s="161"/>
      <c r="I235" s="161"/>
      <c r="J235" s="161"/>
      <c r="N235" s="161"/>
      <c r="O235" s="161"/>
      <c r="P235" s="161"/>
      <c r="Q235" s="161"/>
      <c r="R235" s="161"/>
      <c r="S235" s="161"/>
    </row>
    <row r="236" spans="8:19" ht="15.75" customHeight="1">
      <c r="H236" s="161"/>
      <c r="I236" s="161"/>
      <c r="J236" s="161"/>
      <c r="N236" s="161"/>
      <c r="O236" s="161"/>
      <c r="P236" s="161"/>
      <c r="Q236" s="161"/>
      <c r="R236" s="161"/>
      <c r="S236" s="161"/>
    </row>
    <row r="237" spans="8:19" ht="15.75" customHeight="1"/>
    <row r="238" spans="8:19" ht="15.75" customHeight="1"/>
    <row r="239" spans="8:19" ht="15.75" customHeight="1"/>
  </sheetData>
  <mergeCells count="71">
    <mergeCell ref="B30:B31"/>
    <mergeCell ref="C30:C31"/>
    <mergeCell ref="D30:D31"/>
    <mergeCell ref="P1:R1"/>
    <mergeCell ref="F39:G39"/>
    <mergeCell ref="O3:O4"/>
    <mergeCell ref="D5:E5"/>
    <mergeCell ref="H4:H5"/>
    <mergeCell ref="Q3:Q4"/>
    <mergeCell ref="F14:G14"/>
    <mergeCell ref="B45:G45"/>
    <mergeCell ref="I4:I5"/>
    <mergeCell ref="R3:R4"/>
    <mergeCell ref="F23:G23"/>
    <mergeCell ref="T3:T4"/>
    <mergeCell ref="F31:G31"/>
    <mergeCell ref="F28:G28"/>
    <mergeCell ref="F22:G22"/>
    <mergeCell ref="F13:G13"/>
    <mergeCell ref="F27:G27"/>
    <mergeCell ref="F9:G9"/>
    <mergeCell ref="F43:G43"/>
    <mergeCell ref="F10:G10"/>
    <mergeCell ref="F37:G37"/>
    <mergeCell ref="S3:S4"/>
    <mergeCell ref="F44:G44"/>
    <mergeCell ref="F41:G41"/>
    <mergeCell ref="F42:G42"/>
    <mergeCell ref="F17:G17"/>
    <mergeCell ref="F35:G35"/>
    <mergeCell ref="F8:G8"/>
    <mergeCell ref="F38:G38"/>
    <mergeCell ref="F33:G33"/>
    <mergeCell ref="F32:G32"/>
    <mergeCell ref="F36:G36"/>
    <mergeCell ref="H3:J3"/>
    <mergeCell ref="F26:G26"/>
    <mergeCell ref="F34:G34"/>
    <mergeCell ref="K3:K5"/>
    <mergeCell ref="F40:G40"/>
    <mergeCell ref="F7:G7"/>
    <mergeCell ref="X3:FG3"/>
    <mergeCell ref="F21:G21"/>
    <mergeCell ref="F30:G30"/>
    <mergeCell ref="F3:G5"/>
    <mergeCell ref="F24:G24"/>
    <mergeCell ref="F12:G12"/>
    <mergeCell ref="F15:G15"/>
    <mergeCell ref="J4:J5"/>
    <mergeCell ref="M3:M4"/>
    <mergeCell ref="F20:G20"/>
    <mergeCell ref="F18:G18"/>
    <mergeCell ref="AH4:BD4"/>
    <mergeCell ref="B3:E4"/>
    <mergeCell ref="N3:N4"/>
    <mergeCell ref="F29:G29"/>
    <mergeCell ref="F25:G25"/>
    <mergeCell ref="F19:G19"/>
    <mergeCell ref="F6:G6"/>
    <mergeCell ref="F16:G16"/>
    <mergeCell ref="EN4:FG4"/>
    <mergeCell ref="DQ4:EM4"/>
    <mergeCell ref="F11:G11"/>
    <mergeCell ref="BE4:BY4"/>
    <mergeCell ref="L3:L4"/>
    <mergeCell ref="X4:AG4"/>
    <mergeCell ref="V3:W3"/>
    <mergeCell ref="U3:U4"/>
    <mergeCell ref="BZ4:CT4"/>
    <mergeCell ref="CU4:DP4"/>
    <mergeCell ref="P3:P4"/>
  </mergeCells>
  <phoneticPr fontId="50" type="noConversion"/>
  <conditionalFormatting sqref="P6:S44 T32 T34">
    <cfRule type="cellIs" dxfId="2" priority="1" operator="equal">
      <formula>0</formula>
    </cfRule>
  </conditionalFormatting>
  <conditionalFormatting sqref="T6:W44">
    <cfRule type="colorScale" priority="2">
      <colorScale>
        <cfvo type="percent" val="0"/>
        <cfvo type="max"/>
        <color rgb="FFFFFFFF"/>
        <color rgb="FF44F300"/>
      </colorScale>
    </cfRule>
  </conditionalFormatting>
  <conditionalFormatting sqref="W6:W44">
    <cfRule type="colorScale" priority="3">
      <colorScale>
        <cfvo type="formula" val="-100%"/>
        <cfvo type="formula" val="0"/>
        <cfvo type="formula" val="100%"/>
        <color rgb="FFE06666"/>
        <color rgb="FFFFFFFF"/>
        <color rgb="FF00FF00"/>
      </colorScale>
    </cfRule>
  </conditionalFormatting>
  <conditionalFormatting sqref="X6:FG44">
    <cfRule type="expression" dxfId="1" priority="4">
      <formula>AND(X$5 &gt;= $N6, X$5 &lt;= $O6, X$5 &lt;=$M$1)</formula>
    </cfRule>
    <cfRule type="expression" dxfId="0" priority="5">
      <formula>AND(X$5 &gt;= $L6, X$5 &lt;= $M6)</formula>
    </cfRule>
  </conditionalFormatting>
  <dataValidations count="1">
    <dataValidation type="custom" allowBlank="1" showDropDown="1" showErrorMessage="1" sqref="K6:O11 L12:O44" xr:uid="{00000000-0002-0000-0000-000000000000}">
      <formula1>OR(NOT(ISERROR(DATEVALUE(K6))), AND(ISNUMBER(K6), LEFT(CELL("format", K6))="D"))</formula1>
    </dataValidation>
  </dataValidations>
  <printOptions horizontalCentered="1" gridLines="1"/>
  <pageMargins left="0.25" right="0.25" top="0.75" bottom="0.75" header="0" footer="0"/>
  <pageSetup paperSize="9" pageOrder="overThenDown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workbookViewId="0"/>
  </sheetViews>
  <sheetFormatPr defaultColWidth="12.5703125" defaultRowHeight="15" customHeight="1"/>
  <cols>
    <col min="1" max="1" width="14.7109375" customWidth="1"/>
    <col min="2" max="26" width="11" customWidth="1"/>
  </cols>
  <sheetData>
    <row r="1" spans="1:2" ht="15" customHeight="1">
      <c r="A1" s="1" t="s">
        <v>115</v>
      </c>
    </row>
    <row r="2" spans="1:2" ht="15" customHeight="1">
      <c r="A2" s="2">
        <v>46220</v>
      </c>
      <c r="B2" s="3" t="s">
        <v>116</v>
      </c>
    </row>
    <row r="3" spans="1:2" ht="15" customHeight="1">
      <c r="A3" s="2"/>
      <c r="B3" s="4"/>
    </row>
    <row r="4" spans="1:2" ht="15" customHeight="1">
      <c r="A4" s="2"/>
      <c r="B4" s="4"/>
    </row>
    <row r="5" spans="1:2" ht="15" customHeight="1">
      <c r="A5" s="2"/>
      <c r="B5" s="4"/>
    </row>
    <row r="6" spans="1:2" ht="15" customHeight="1">
      <c r="A6" s="2"/>
      <c r="B6" s="4"/>
    </row>
    <row r="7" spans="1:2" ht="15" customHeight="1">
      <c r="A7" s="2"/>
      <c r="B7" s="4"/>
    </row>
    <row r="8" spans="1:2" ht="15" customHeight="1">
      <c r="A8" s="2"/>
      <c r="B8" s="4"/>
    </row>
    <row r="9" spans="1:2" ht="15" customHeight="1">
      <c r="A9" s="2"/>
      <c r="B9" s="4"/>
    </row>
    <row r="10" spans="1:2" ht="15" customHeight="1">
      <c r="A10" s="2"/>
      <c r="B10" s="4"/>
    </row>
    <row r="11" spans="1:2" ht="12.75" customHeight="1"/>
    <row r="12" spans="1:2" ht="12.75" customHeight="1"/>
    <row r="13" spans="1:2" ht="12.75" customHeight="1"/>
    <row r="14" spans="1:2" ht="12.75" customHeight="1"/>
    <row r="15" spans="1:2" ht="12.75" customHeight="1"/>
    <row r="16" spans="1: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honeticPr fontId="50" type="noConversion"/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프로젝트WBS</vt:lpstr>
      <vt:lpstr>휴일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wlgns9471@naver.com</cp:lastModifiedBy>
  <dcterms:created xsi:type="dcterms:W3CDTF">2026-06-18T01:02:18Z</dcterms:created>
  <dcterms:modified xsi:type="dcterms:W3CDTF">2026-10-28T02:14:30Z</dcterms:modified>
</cp:coreProperties>
</file>